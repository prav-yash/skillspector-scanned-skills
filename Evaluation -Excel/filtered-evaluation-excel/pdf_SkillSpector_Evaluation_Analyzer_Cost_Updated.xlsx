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gent-Skills\reports\Evaluation -Excel\inspect\"/>
    </mc:Choice>
  </mc:AlternateContent>
  <xr:revisionPtr revIDLastSave="0" documentId="13_ncr:1_{AED79D6B-865A-4514-AF93-E484C4AACAB1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Scan Inventory" sheetId="1" r:id="rId1"/>
    <sheet name="Analyzer Comparison" sheetId="2" r:id="rId2"/>
    <sheet name="Findings Comparison" sheetId="3" r:id="rId3"/>
    <sheet name="LLM Behavior" sheetId="4" r:id="rId4"/>
    <sheet name="Master Evaluation" sheetId="5" r:id="rId5"/>
  </sheets>
  <definedNames>
    <definedName name="_xlnm._FilterDatabase" localSheetId="1" hidden="1">'Analyzer Comparison'!$A$1:$H$6</definedName>
  </definedNames>
  <calcPr calcId="191029" forceFullCalc="1"/>
</workbook>
</file>

<file path=xl/calcChain.xml><?xml version="1.0" encoding="utf-8"?>
<calcChain xmlns="http://schemas.openxmlformats.org/spreadsheetml/2006/main">
  <c r="G453" i="4" l="1"/>
  <c r="F453" i="4"/>
  <c r="E453" i="4"/>
  <c r="D453" i="4"/>
  <c r="G452" i="4"/>
  <c r="F452" i="4"/>
  <c r="E452" i="4"/>
  <c r="D452" i="4"/>
  <c r="G451" i="4"/>
  <c r="F451" i="4"/>
  <c r="E451" i="4"/>
  <c r="D451" i="4"/>
  <c r="G450" i="4"/>
  <c r="F450" i="4"/>
  <c r="E450" i="4"/>
  <c r="D450" i="4"/>
  <c r="G449" i="4"/>
  <c r="F449" i="4"/>
  <c r="E449" i="4"/>
  <c r="D449" i="4"/>
  <c r="H448" i="4"/>
  <c r="G448" i="4"/>
  <c r="F448" i="4"/>
  <c r="E448" i="4"/>
  <c r="D448" i="4"/>
  <c r="H447" i="4"/>
  <c r="G447" i="4"/>
  <c r="F447" i="4"/>
  <c r="E447" i="4"/>
  <c r="D447" i="4"/>
  <c r="G446" i="4"/>
  <c r="F446" i="4"/>
  <c r="E446" i="4"/>
  <c r="D446" i="4"/>
  <c r="G445" i="4"/>
  <c r="F445" i="4"/>
  <c r="E445" i="4"/>
  <c r="D445" i="4"/>
  <c r="G444" i="4"/>
  <c r="F444" i="4"/>
  <c r="E444" i="4"/>
  <c r="D444" i="4"/>
  <c r="G443" i="4"/>
  <c r="F443" i="4"/>
  <c r="E443" i="4"/>
  <c r="D443" i="4"/>
  <c r="O438" i="4"/>
  <c r="N438" i="4"/>
  <c r="O437" i="4"/>
  <c r="N437" i="4"/>
  <c r="O436" i="4"/>
  <c r="N436" i="4"/>
  <c r="O435" i="4"/>
  <c r="N435" i="4"/>
  <c r="O434" i="4"/>
  <c r="N434" i="4"/>
  <c r="O433" i="4"/>
  <c r="N433" i="4"/>
  <c r="O432" i="4"/>
  <c r="N432" i="4"/>
  <c r="O431" i="4"/>
  <c r="N431" i="4"/>
  <c r="O430" i="4"/>
  <c r="N430" i="4"/>
  <c r="O429" i="4"/>
  <c r="N429" i="4"/>
  <c r="O428" i="4"/>
  <c r="N428" i="4"/>
  <c r="O427" i="4"/>
  <c r="N427" i="4"/>
  <c r="O426" i="4"/>
  <c r="N426" i="4"/>
  <c r="O425" i="4"/>
  <c r="N425" i="4"/>
  <c r="O424" i="4"/>
  <c r="N424" i="4"/>
  <c r="O423" i="4"/>
  <c r="N423" i="4"/>
  <c r="O422" i="4"/>
  <c r="N422" i="4"/>
  <c r="O421" i="4"/>
  <c r="N421" i="4"/>
  <c r="O420" i="4"/>
  <c r="N420" i="4"/>
  <c r="O419" i="4"/>
  <c r="N419" i="4"/>
  <c r="O418" i="4"/>
  <c r="N418" i="4"/>
  <c r="O417" i="4"/>
  <c r="N417" i="4"/>
  <c r="O416" i="4"/>
  <c r="N416" i="4"/>
  <c r="O415" i="4"/>
  <c r="N415" i="4"/>
  <c r="O414" i="4"/>
  <c r="N414" i="4"/>
  <c r="O413" i="4"/>
  <c r="N413" i="4"/>
  <c r="O412" i="4"/>
  <c r="N412" i="4"/>
  <c r="O411" i="4"/>
  <c r="N411" i="4"/>
  <c r="O410" i="4"/>
  <c r="N410" i="4"/>
  <c r="O409" i="4"/>
  <c r="N409" i="4"/>
  <c r="O408" i="4"/>
  <c r="N408" i="4"/>
  <c r="O407" i="4"/>
  <c r="N407" i="4"/>
  <c r="O406" i="4"/>
  <c r="N406" i="4"/>
  <c r="O405" i="4"/>
  <c r="N405" i="4"/>
  <c r="O404" i="4"/>
  <c r="N404" i="4"/>
  <c r="O403" i="4"/>
  <c r="N403" i="4"/>
  <c r="O402" i="4"/>
  <c r="N402" i="4"/>
  <c r="O401" i="4"/>
  <c r="N401" i="4"/>
  <c r="O400" i="4"/>
  <c r="N400" i="4"/>
  <c r="O399" i="4"/>
  <c r="N399" i="4"/>
  <c r="O398" i="4"/>
  <c r="N398" i="4"/>
  <c r="O397" i="4"/>
  <c r="N397" i="4"/>
  <c r="O396" i="4"/>
  <c r="N396" i="4"/>
  <c r="O395" i="4"/>
  <c r="N395" i="4"/>
  <c r="O394" i="4"/>
  <c r="N394" i="4"/>
  <c r="O393" i="4"/>
  <c r="N393" i="4"/>
  <c r="O392" i="4"/>
  <c r="N392" i="4"/>
  <c r="O391" i="4"/>
  <c r="N391" i="4"/>
  <c r="O390" i="4"/>
  <c r="N390" i="4"/>
  <c r="O389" i="4"/>
  <c r="N389" i="4"/>
  <c r="O388" i="4"/>
  <c r="N388" i="4"/>
  <c r="O387" i="4"/>
  <c r="N387" i="4"/>
  <c r="O386" i="4"/>
  <c r="N386" i="4"/>
  <c r="O385" i="4"/>
  <c r="N385" i="4"/>
  <c r="O384" i="4"/>
  <c r="N384" i="4"/>
  <c r="O383" i="4"/>
  <c r="N383" i="4"/>
  <c r="O382" i="4"/>
  <c r="N382" i="4"/>
  <c r="O381" i="4"/>
  <c r="N381" i="4"/>
  <c r="O380" i="4"/>
  <c r="N380" i="4"/>
  <c r="O379" i="4"/>
  <c r="N379" i="4"/>
  <c r="O378" i="4"/>
  <c r="N378" i="4"/>
  <c r="O377" i="4"/>
  <c r="N377" i="4"/>
  <c r="O376" i="4"/>
  <c r="N376" i="4"/>
  <c r="O375" i="4"/>
  <c r="N375" i="4"/>
  <c r="O374" i="4"/>
  <c r="N374" i="4"/>
  <c r="O373" i="4"/>
  <c r="N373" i="4"/>
  <c r="O372" i="4"/>
  <c r="N372" i="4"/>
  <c r="O371" i="4"/>
  <c r="N371" i="4"/>
  <c r="O370" i="4"/>
  <c r="N370" i="4"/>
  <c r="O369" i="4"/>
  <c r="N369" i="4"/>
  <c r="O368" i="4"/>
  <c r="N368" i="4"/>
  <c r="O367" i="4"/>
  <c r="N367" i="4"/>
  <c r="O366" i="4"/>
  <c r="N366" i="4"/>
  <c r="O365" i="4"/>
  <c r="N365" i="4"/>
  <c r="O364" i="4"/>
  <c r="N364" i="4"/>
  <c r="O363" i="4"/>
  <c r="N363" i="4"/>
  <c r="O362" i="4"/>
  <c r="N362" i="4"/>
  <c r="O361" i="4"/>
  <c r="N361" i="4"/>
  <c r="O360" i="4"/>
  <c r="N360" i="4"/>
  <c r="O359" i="4"/>
  <c r="N359" i="4"/>
  <c r="O358" i="4"/>
  <c r="N358" i="4"/>
  <c r="O357" i="4"/>
  <c r="N357" i="4"/>
  <c r="O356" i="4"/>
  <c r="N356" i="4"/>
  <c r="O355" i="4"/>
  <c r="N355" i="4"/>
  <c r="O354" i="4"/>
  <c r="N354" i="4"/>
  <c r="O353" i="4"/>
  <c r="N353" i="4"/>
  <c r="O352" i="4"/>
  <c r="N352" i="4"/>
  <c r="O351" i="4"/>
  <c r="N351" i="4"/>
  <c r="O350" i="4"/>
  <c r="N350" i="4"/>
  <c r="O349" i="4"/>
  <c r="N349" i="4"/>
  <c r="O348" i="4"/>
  <c r="N348" i="4"/>
  <c r="O347" i="4"/>
  <c r="N347" i="4"/>
  <c r="O346" i="4"/>
  <c r="N346" i="4"/>
  <c r="O345" i="4"/>
  <c r="N345" i="4"/>
  <c r="O344" i="4"/>
  <c r="N344" i="4"/>
  <c r="O343" i="4"/>
  <c r="N343" i="4"/>
  <c r="O342" i="4"/>
  <c r="N342" i="4"/>
  <c r="O341" i="4"/>
  <c r="N341" i="4"/>
  <c r="O340" i="4"/>
  <c r="N340" i="4"/>
  <c r="O339" i="4"/>
  <c r="N339" i="4"/>
  <c r="O338" i="4"/>
  <c r="N338" i="4"/>
  <c r="O337" i="4"/>
  <c r="N337" i="4"/>
  <c r="O336" i="4"/>
  <c r="N336" i="4"/>
  <c r="O335" i="4"/>
  <c r="N335" i="4"/>
  <c r="O334" i="4"/>
  <c r="N334" i="4"/>
  <c r="O333" i="4"/>
  <c r="N333" i="4"/>
  <c r="O332" i="4"/>
  <c r="N332" i="4"/>
  <c r="O331" i="4"/>
  <c r="N331" i="4"/>
  <c r="O330" i="4"/>
  <c r="N330" i="4"/>
  <c r="O329" i="4"/>
  <c r="N329" i="4"/>
  <c r="O328" i="4"/>
  <c r="N328" i="4"/>
  <c r="O327" i="4"/>
  <c r="N327" i="4"/>
  <c r="O326" i="4"/>
  <c r="N326" i="4"/>
  <c r="O325" i="4"/>
  <c r="N325" i="4"/>
  <c r="O324" i="4"/>
  <c r="N324" i="4"/>
  <c r="O323" i="4"/>
  <c r="N323" i="4"/>
  <c r="O322" i="4"/>
  <c r="N322" i="4"/>
  <c r="O321" i="4"/>
  <c r="N321" i="4"/>
  <c r="O320" i="4"/>
  <c r="N320" i="4"/>
  <c r="O319" i="4"/>
  <c r="N319" i="4"/>
  <c r="O318" i="4"/>
  <c r="N318" i="4"/>
  <c r="O317" i="4"/>
  <c r="N317" i="4"/>
  <c r="O316" i="4"/>
  <c r="N316" i="4"/>
  <c r="O315" i="4"/>
  <c r="N315" i="4"/>
  <c r="O314" i="4"/>
  <c r="N314" i="4"/>
  <c r="O313" i="4"/>
  <c r="N313" i="4"/>
  <c r="O312" i="4"/>
  <c r="N312" i="4"/>
  <c r="O311" i="4"/>
  <c r="N311" i="4"/>
  <c r="O310" i="4"/>
  <c r="N310" i="4"/>
  <c r="O309" i="4"/>
  <c r="N309" i="4"/>
  <c r="O308" i="4"/>
  <c r="N308" i="4"/>
  <c r="O307" i="4"/>
  <c r="N307" i="4"/>
  <c r="O306" i="4"/>
  <c r="N306" i="4"/>
  <c r="O305" i="4"/>
  <c r="N305" i="4"/>
  <c r="O304" i="4"/>
  <c r="N304" i="4"/>
  <c r="O303" i="4"/>
  <c r="N303" i="4"/>
  <c r="O302" i="4"/>
  <c r="N302" i="4"/>
  <c r="O301" i="4"/>
  <c r="N301" i="4"/>
  <c r="O300" i="4"/>
  <c r="N300" i="4"/>
  <c r="O299" i="4"/>
  <c r="N299" i="4"/>
  <c r="O298" i="4"/>
  <c r="N298" i="4"/>
  <c r="O297" i="4"/>
  <c r="N297" i="4"/>
  <c r="O296" i="4"/>
  <c r="N296" i="4"/>
  <c r="O295" i="4"/>
  <c r="N295" i="4"/>
  <c r="O294" i="4"/>
  <c r="N294" i="4"/>
  <c r="O293" i="4"/>
  <c r="N293" i="4"/>
  <c r="O292" i="4"/>
  <c r="N292" i="4"/>
  <c r="O291" i="4"/>
  <c r="N291" i="4"/>
  <c r="O290" i="4"/>
  <c r="N290" i="4"/>
  <c r="O289" i="4"/>
  <c r="N289" i="4"/>
  <c r="O288" i="4"/>
  <c r="N288" i="4"/>
  <c r="O287" i="4"/>
  <c r="N287" i="4"/>
  <c r="O286" i="4"/>
  <c r="N286" i="4"/>
  <c r="O285" i="4"/>
  <c r="N285" i="4"/>
  <c r="O284" i="4"/>
  <c r="N284" i="4"/>
  <c r="O283" i="4"/>
  <c r="N283" i="4"/>
  <c r="O282" i="4"/>
  <c r="N282" i="4"/>
  <c r="O281" i="4"/>
  <c r="N281" i="4"/>
  <c r="O280" i="4"/>
  <c r="N280" i="4"/>
  <c r="O279" i="4"/>
  <c r="N279" i="4"/>
  <c r="O278" i="4"/>
  <c r="N278" i="4"/>
  <c r="O277" i="4"/>
  <c r="N277" i="4"/>
  <c r="O276" i="4"/>
  <c r="N276" i="4"/>
  <c r="O275" i="4"/>
  <c r="N275" i="4"/>
  <c r="O274" i="4"/>
  <c r="N274" i="4"/>
  <c r="O273" i="4"/>
  <c r="N273" i="4"/>
  <c r="O272" i="4"/>
  <c r="N272" i="4"/>
  <c r="O271" i="4"/>
  <c r="N271" i="4"/>
  <c r="O270" i="4"/>
  <c r="N270" i="4"/>
  <c r="O269" i="4"/>
  <c r="N269" i="4"/>
  <c r="O268" i="4"/>
  <c r="N268" i="4"/>
  <c r="O267" i="4"/>
  <c r="N267" i="4"/>
  <c r="O266" i="4"/>
  <c r="N266" i="4"/>
  <c r="O265" i="4"/>
  <c r="N265" i="4"/>
  <c r="O264" i="4"/>
  <c r="N264" i="4"/>
  <c r="O263" i="4"/>
  <c r="N263" i="4"/>
  <c r="O262" i="4"/>
  <c r="N262" i="4"/>
  <c r="O261" i="4"/>
  <c r="N261" i="4"/>
  <c r="O260" i="4"/>
  <c r="N260" i="4"/>
  <c r="O259" i="4"/>
  <c r="N259" i="4"/>
  <c r="O258" i="4"/>
  <c r="N258" i="4"/>
  <c r="O257" i="4"/>
  <c r="N257" i="4"/>
  <c r="O256" i="4"/>
  <c r="N256" i="4"/>
  <c r="O255" i="4"/>
  <c r="N255" i="4"/>
  <c r="O254" i="4"/>
  <c r="N254" i="4"/>
  <c r="O253" i="4"/>
  <c r="N253" i="4"/>
  <c r="O252" i="4"/>
  <c r="N252" i="4"/>
  <c r="O251" i="4"/>
  <c r="N251" i="4"/>
  <c r="O250" i="4"/>
  <c r="N250" i="4"/>
  <c r="O249" i="4"/>
  <c r="N249" i="4"/>
  <c r="O248" i="4"/>
  <c r="N248" i="4"/>
  <c r="O247" i="4"/>
  <c r="N247" i="4"/>
  <c r="O246" i="4"/>
  <c r="N246" i="4"/>
  <c r="O245" i="4"/>
  <c r="N245" i="4"/>
  <c r="O244" i="4"/>
  <c r="N244" i="4"/>
  <c r="O243" i="4"/>
  <c r="N243" i="4"/>
  <c r="O242" i="4"/>
  <c r="N242" i="4"/>
  <c r="O241" i="4"/>
  <c r="N241" i="4"/>
  <c r="O240" i="4"/>
  <c r="N240" i="4"/>
  <c r="O239" i="4"/>
  <c r="N239" i="4"/>
  <c r="O238" i="4"/>
  <c r="N238" i="4"/>
  <c r="O237" i="4"/>
  <c r="N237" i="4"/>
  <c r="O236" i="4"/>
  <c r="N236" i="4"/>
  <c r="O235" i="4"/>
  <c r="N235" i="4"/>
  <c r="O234" i="4"/>
  <c r="N234" i="4"/>
  <c r="O233" i="4"/>
  <c r="N233" i="4"/>
  <c r="O232" i="4"/>
  <c r="N232" i="4"/>
  <c r="O231" i="4"/>
  <c r="N231" i="4"/>
  <c r="O230" i="4"/>
  <c r="N230" i="4"/>
  <c r="O229" i="4"/>
  <c r="N229" i="4"/>
  <c r="O228" i="4"/>
  <c r="N228" i="4"/>
  <c r="O227" i="4"/>
  <c r="N227" i="4"/>
  <c r="O226" i="4"/>
  <c r="N226" i="4"/>
  <c r="O225" i="4"/>
  <c r="N225" i="4"/>
  <c r="O224" i="4"/>
  <c r="N224" i="4"/>
  <c r="O223" i="4"/>
  <c r="N223" i="4"/>
  <c r="O222" i="4"/>
  <c r="N222" i="4"/>
  <c r="O221" i="4"/>
  <c r="N221" i="4"/>
  <c r="O220" i="4"/>
  <c r="N220" i="4"/>
  <c r="O219" i="4"/>
  <c r="N219" i="4"/>
  <c r="O218" i="4"/>
  <c r="N218" i="4"/>
  <c r="O217" i="4"/>
  <c r="N217" i="4"/>
  <c r="O216" i="4"/>
  <c r="N216" i="4"/>
  <c r="O215" i="4"/>
  <c r="N215" i="4"/>
  <c r="O134" i="4"/>
  <c r="N134" i="4"/>
  <c r="O133" i="4"/>
  <c r="N133" i="4"/>
  <c r="O132" i="4"/>
  <c r="N132" i="4"/>
  <c r="O131" i="4"/>
  <c r="N131" i="4"/>
  <c r="O130" i="4"/>
  <c r="N130" i="4"/>
  <c r="O129" i="4"/>
  <c r="N129" i="4"/>
  <c r="O128" i="4"/>
  <c r="N128" i="4"/>
  <c r="O127" i="4"/>
  <c r="N127" i="4"/>
  <c r="O126" i="4"/>
  <c r="N126" i="4"/>
  <c r="O125" i="4"/>
  <c r="N125" i="4"/>
  <c r="O124" i="4"/>
  <c r="N124" i="4"/>
  <c r="O123" i="4"/>
  <c r="N123" i="4"/>
  <c r="O122" i="4"/>
  <c r="N122" i="4"/>
  <c r="O121" i="4"/>
  <c r="N121" i="4"/>
  <c r="O120" i="4"/>
  <c r="N120" i="4"/>
  <c r="O119" i="4"/>
  <c r="N119" i="4"/>
  <c r="O118" i="4"/>
  <c r="N118" i="4"/>
  <c r="O117" i="4"/>
  <c r="N117" i="4"/>
  <c r="O116" i="4"/>
  <c r="N116" i="4"/>
  <c r="O115" i="4"/>
  <c r="N115" i="4"/>
  <c r="O114" i="4"/>
  <c r="N114" i="4"/>
  <c r="O113" i="4"/>
  <c r="N113" i="4"/>
  <c r="O112" i="4"/>
  <c r="N112" i="4"/>
  <c r="O111" i="4"/>
  <c r="N111" i="4"/>
  <c r="O110" i="4"/>
  <c r="N110" i="4"/>
  <c r="O109" i="4"/>
  <c r="N109" i="4"/>
  <c r="O108" i="4"/>
  <c r="N108" i="4"/>
  <c r="O107" i="4"/>
  <c r="N107" i="4"/>
  <c r="O106" i="4"/>
  <c r="N106" i="4"/>
  <c r="O105" i="4"/>
  <c r="N105" i="4"/>
  <c r="O104" i="4"/>
  <c r="N104" i="4"/>
  <c r="O103" i="4"/>
  <c r="N103" i="4"/>
  <c r="O102" i="4"/>
  <c r="N102" i="4"/>
  <c r="O101" i="4"/>
  <c r="N101" i="4"/>
  <c r="O100" i="4"/>
  <c r="N100" i="4"/>
  <c r="O99" i="4"/>
  <c r="N99" i="4"/>
  <c r="O98" i="4"/>
  <c r="N98" i="4"/>
  <c r="O97" i="4"/>
  <c r="N97" i="4"/>
  <c r="O96" i="4"/>
  <c r="N96" i="4"/>
  <c r="O95" i="4"/>
  <c r="N95" i="4"/>
  <c r="O94" i="4"/>
  <c r="N94" i="4"/>
  <c r="O93" i="4"/>
  <c r="N93" i="4"/>
  <c r="O92" i="4"/>
  <c r="N92" i="4"/>
  <c r="O91" i="4"/>
  <c r="N91" i="4"/>
  <c r="O90" i="4"/>
  <c r="N90" i="4"/>
  <c r="O89" i="4"/>
  <c r="N89" i="4"/>
  <c r="O88" i="4"/>
  <c r="N88" i="4"/>
  <c r="O87" i="4"/>
  <c r="N87" i="4"/>
  <c r="O86" i="4"/>
  <c r="N86" i="4"/>
  <c r="O85" i="4"/>
  <c r="N85" i="4"/>
  <c r="O84" i="4"/>
  <c r="N84" i="4"/>
  <c r="O83" i="4"/>
  <c r="N83" i="4"/>
  <c r="O82" i="4"/>
  <c r="N82" i="4"/>
  <c r="O81" i="4"/>
  <c r="N81" i="4"/>
  <c r="O80" i="4"/>
  <c r="N80" i="4"/>
  <c r="O79" i="4"/>
  <c r="N79" i="4"/>
  <c r="O78" i="4"/>
  <c r="N78" i="4"/>
  <c r="O77" i="4"/>
  <c r="N77" i="4"/>
  <c r="O76" i="4"/>
  <c r="N76" i="4"/>
  <c r="O75" i="4"/>
  <c r="N75" i="4"/>
  <c r="O74" i="4"/>
  <c r="N74" i="4"/>
  <c r="O73" i="4"/>
  <c r="N73" i="4"/>
  <c r="O72" i="4"/>
  <c r="N72" i="4"/>
  <c r="O71" i="4"/>
  <c r="N71" i="4"/>
  <c r="O70" i="4"/>
  <c r="N70" i="4"/>
  <c r="O69" i="4"/>
  <c r="N69" i="4"/>
  <c r="O68" i="4"/>
  <c r="N68" i="4"/>
  <c r="O67" i="4"/>
  <c r="N67" i="4"/>
  <c r="O66" i="4"/>
  <c r="N66" i="4"/>
  <c r="O65" i="4"/>
  <c r="N65" i="4"/>
  <c r="O64" i="4"/>
  <c r="N64" i="4"/>
  <c r="O63" i="4"/>
  <c r="N63" i="4"/>
  <c r="O62" i="4"/>
  <c r="N62" i="4"/>
  <c r="O61" i="4"/>
  <c r="N61" i="4"/>
  <c r="O60" i="4"/>
  <c r="N60" i="4"/>
  <c r="O59" i="4"/>
  <c r="N59" i="4"/>
  <c r="O58" i="4"/>
  <c r="N58" i="4"/>
  <c r="O57" i="4"/>
  <c r="N57" i="4"/>
  <c r="O56" i="4"/>
  <c r="N56" i="4"/>
  <c r="O55" i="4"/>
  <c r="N55" i="4"/>
  <c r="O54" i="4"/>
  <c r="N54" i="4"/>
  <c r="O53" i="4"/>
  <c r="N53" i="4"/>
  <c r="O52" i="4"/>
  <c r="N52" i="4"/>
  <c r="O51" i="4"/>
  <c r="N51" i="4"/>
  <c r="O50" i="4"/>
  <c r="N50" i="4"/>
  <c r="O49" i="4"/>
  <c r="N49" i="4"/>
  <c r="O48" i="4"/>
  <c r="N48" i="4"/>
  <c r="O47" i="4"/>
  <c r="N47" i="4"/>
  <c r="O46" i="4"/>
  <c r="N46" i="4"/>
  <c r="O45" i="4"/>
  <c r="N45" i="4"/>
  <c r="O44" i="4"/>
  <c r="N44" i="4"/>
  <c r="O43" i="4"/>
  <c r="N43" i="4"/>
  <c r="O42" i="4"/>
  <c r="N42" i="4"/>
  <c r="O41" i="4"/>
  <c r="N41" i="4"/>
  <c r="O40" i="4"/>
  <c r="N40" i="4"/>
  <c r="O39" i="4"/>
  <c r="N39" i="4"/>
  <c r="O38" i="4"/>
  <c r="N38" i="4"/>
  <c r="O37" i="4"/>
  <c r="N37" i="4"/>
  <c r="O36" i="4"/>
  <c r="N36" i="4"/>
  <c r="O35" i="4"/>
  <c r="N35" i="4"/>
  <c r="O34" i="4"/>
  <c r="N34" i="4"/>
  <c r="O33" i="4"/>
  <c r="N33" i="4"/>
  <c r="O32" i="4"/>
  <c r="N32" i="4"/>
  <c r="O31" i="4"/>
  <c r="N31" i="4"/>
  <c r="O30" i="4"/>
  <c r="N30" i="4"/>
  <c r="O29" i="4"/>
  <c r="N29" i="4"/>
  <c r="O28" i="4"/>
  <c r="N28" i="4"/>
  <c r="O27" i="4"/>
  <c r="N27" i="4"/>
  <c r="O26" i="4"/>
  <c r="N26" i="4"/>
  <c r="O25" i="4"/>
  <c r="N25" i="4"/>
  <c r="O24" i="4"/>
  <c r="N24" i="4"/>
  <c r="O23" i="4"/>
  <c r="N23" i="4"/>
  <c r="O22" i="4"/>
  <c r="N22" i="4"/>
  <c r="O21" i="4"/>
  <c r="N21" i="4"/>
  <c r="O20" i="4"/>
  <c r="N20" i="4"/>
  <c r="O19" i="4"/>
  <c r="N19" i="4"/>
  <c r="O18" i="4"/>
  <c r="N18" i="4"/>
  <c r="O17" i="4"/>
  <c r="N17" i="4"/>
  <c r="O16" i="4"/>
  <c r="N16" i="4"/>
  <c r="O15" i="4"/>
  <c r="N15" i="4"/>
  <c r="O14" i="4"/>
  <c r="N14" i="4"/>
  <c r="O13" i="4"/>
  <c r="N13" i="4"/>
  <c r="O12" i="4"/>
  <c r="N12" i="4"/>
  <c r="O11" i="4"/>
  <c r="N11" i="4"/>
  <c r="O10" i="4"/>
  <c r="N10" i="4"/>
  <c r="O9" i="4"/>
  <c r="N9" i="4"/>
  <c r="O8" i="4"/>
  <c r="N8" i="4"/>
  <c r="O7" i="4"/>
  <c r="N7" i="4"/>
  <c r="O6" i="4"/>
  <c r="N6" i="4"/>
  <c r="O5" i="4"/>
  <c r="N5" i="4"/>
  <c r="O4" i="4"/>
  <c r="N4" i="4"/>
  <c r="O3" i="4"/>
  <c r="N3" i="4"/>
  <c r="O2" i="4"/>
  <c r="N2" i="4"/>
  <c r="P428" i="4" l="1"/>
  <c r="P394" i="4"/>
  <c r="P402" i="4"/>
  <c r="P3" i="4"/>
  <c r="P410" i="4"/>
  <c r="P418" i="4"/>
  <c r="P422" i="4"/>
  <c r="I453" i="4"/>
  <c r="P5" i="4"/>
  <c r="P9" i="4"/>
  <c r="P13" i="4"/>
  <c r="P17" i="4"/>
  <c r="P105" i="4"/>
  <c r="P273" i="4"/>
  <c r="P297" i="4"/>
  <c r="P329" i="4"/>
  <c r="P333" i="4"/>
  <c r="P341" i="4"/>
  <c r="P345" i="4"/>
  <c r="P353" i="4"/>
  <c r="P405" i="4"/>
  <c r="P409" i="4"/>
  <c r="P425" i="4"/>
  <c r="I451" i="4"/>
  <c r="P320" i="4"/>
  <c r="P344" i="4"/>
  <c r="P68" i="4"/>
  <c r="P116" i="4"/>
  <c r="P304" i="4"/>
  <c r="P292" i="4"/>
  <c r="P23" i="4"/>
  <c r="P111" i="4"/>
  <c r="P319" i="4"/>
  <c r="I452" i="4"/>
  <c r="P81" i="4"/>
  <c r="P237" i="4"/>
  <c r="P10" i="4"/>
  <c r="P118" i="4"/>
  <c r="P122" i="4"/>
  <c r="P130" i="4"/>
  <c r="P134" i="4"/>
  <c r="P282" i="4"/>
  <c r="P286" i="4"/>
  <c r="P290" i="4"/>
  <c r="P298" i="4"/>
  <c r="P433" i="4"/>
  <c r="P83" i="4"/>
  <c r="P95" i="4"/>
  <c r="P103" i="4"/>
  <c r="P119" i="4"/>
  <c r="P123" i="4"/>
  <c r="P247" i="4"/>
  <c r="P255" i="4"/>
  <c r="P279" i="4"/>
  <c r="P295" i="4"/>
  <c r="P225" i="4"/>
  <c r="P269" i="4"/>
  <c r="P8" i="4"/>
  <c r="P84" i="4"/>
  <c r="P96" i="4"/>
  <c r="P220" i="4"/>
  <c r="P224" i="4"/>
  <c r="P228" i="4"/>
  <c r="P232" i="4"/>
  <c r="P240" i="4"/>
  <c r="P248" i="4"/>
  <c r="P252" i="4"/>
  <c r="P256" i="4"/>
  <c r="P260" i="4"/>
  <c r="P41" i="4"/>
  <c r="P45" i="4"/>
  <c r="P49" i="4"/>
  <c r="P53" i="4"/>
  <c r="P61" i="4"/>
  <c r="P263" i="4"/>
  <c r="P267" i="4"/>
  <c r="P314" i="4"/>
  <c r="P369" i="4"/>
  <c r="P377" i="4"/>
  <c r="P381" i="4"/>
  <c r="P397" i="4"/>
  <c r="P401" i="4"/>
  <c r="P437" i="4"/>
  <c r="I447" i="4"/>
  <c r="P89" i="4"/>
  <c r="P124" i="4"/>
  <c r="P26" i="4"/>
  <c r="P58" i="4"/>
  <c r="P86" i="4"/>
  <c r="P98" i="4"/>
  <c r="P102" i="4"/>
  <c r="P113" i="4"/>
  <c r="P117" i="4"/>
  <c r="P125" i="4"/>
  <c r="P129" i="4"/>
  <c r="P241" i="4"/>
  <c r="P257" i="4"/>
  <c r="P280" i="4"/>
  <c r="P284" i="4"/>
  <c r="P347" i="4"/>
  <c r="P351" i="4"/>
  <c r="P363" i="4"/>
  <c r="P367" i="4"/>
  <c r="P375" i="4"/>
  <c r="P379" i="4"/>
  <c r="P391" i="4"/>
  <c r="P403" i="4"/>
  <c r="P415" i="4"/>
  <c r="P43" i="4"/>
  <c r="P51" i="4"/>
  <c r="P63" i="4"/>
  <c r="P75" i="4"/>
  <c r="P110" i="4"/>
  <c r="P312" i="4"/>
  <c r="P20" i="4"/>
  <c r="P44" i="4"/>
  <c r="P52" i="4"/>
  <c r="P301" i="4"/>
  <c r="P313" i="4"/>
  <c r="P380" i="4"/>
  <c r="P388" i="4"/>
  <c r="P404" i="4"/>
  <c r="P412" i="4"/>
  <c r="P436" i="4"/>
  <c r="P32" i="4"/>
  <c r="P36" i="4"/>
  <c r="P79" i="4"/>
  <c r="P236" i="4"/>
  <c r="P324" i="4"/>
  <c r="P21" i="4"/>
  <c r="P25" i="4"/>
  <c r="P29" i="4"/>
  <c r="P33" i="4"/>
  <c r="P37" i="4"/>
  <c r="P60" i="4"/>
  <c r="P64" i="4"/>
  <c r="P76" i="4"/>
  <c r="P87" i="4"/>
  <c r="P107" i="4"/>
  <c r="P217" i="4"/>
  <c r="P221" i="4"/>
  <c r="P233" i="4"/>
  <c r="P264" i="4"/>
  <c r="P272" i="4"/>
  <c r="P287" i="4"/>
  <c r="P302" i="4"/>
  <c r="P305" i="4"/>
  <c r="P321" i="4"/>
  <c r="P336" i="4"/>
  <c r="P348" i="4"/>
  <c r="P368" i="4"/>
  <c r="P372" i="4"/>
  <c r="P384" i="4"/>
  <c r="P395" i="4"/>
  <c r="P421" i="4"/>
  <c r="F455" i="4"/>
  <c r="P18" i="4"/>
  <c r="P30" i="4"/>
  <c r="P34" i="4"/>
  <c r="P38" i="4"/>
  <c r="P57" i="4"/>
  <c r="P65" i="4"/>
  <c r="P69" i="4"/>
  <c r="P73" i="4"/>
  <c r="P77" i="4"/>
  <c r="P92" i="4"/>
  <c r="P100" i="4"/>
  <c r="P108" i="4"/>
  <c r="P127" i="4"/>
  <c r="P222" i="4"/>
  <c r="P230" i="4"/>
  <c r="P234" i="4"/>
  <c r="P249" i="4"/>
  <c r="P265" i="4"/>
  <c r="P288" i="4"/>
  <c r="P299" i="4"/>
  <c r="P322" i="4"/>
  <c r="P337" i="4"/>
  <c r="P357" i="4"/>
  <c r="P361" i="4"/>
  <c r="P385" i="4"/>
  <c r="P426" i="4"/>
  <c r="P430" i="4"/>
  <c r="P11" i="4"/>
  <c r="P15" i="4"/>
  <c r="P42" i="4"/>
  <c r="P54" i="4"/>
  <c r="P85" i="4"/>
  <c r="P93" i="4"/>
  <c r="P97" i="4"/>
  <c r="P120" i="4"/>
  <c r="P254" i="4"/>
  <c r="P258" i="4"/>
  <c r="P281" i="4"/>
  <c r="P296" i="4"/>
  <c r="P330" i="4"/>
  <c r="P334" i="4"/>
  <c r="P346" i="4"/>
  <c r="P393" i="4"/>
  <c r="P408" i="4"/>
  <c r="P419" i="4"/>
  <c r="P438" i="4"/>
  <c r="P19" i="4"/>
  <c r="P31" i="4"/>
  <c r="P62" i="4"/>
  <c r="P66" i="4"/>
  <c r="P70" i="4"/>
  <c r="P109" i="4"/>
  <c r="P128" i="4"/>
  <c r="P223" i="4"/>
  <c r="P231" i="4"/>
  <c r="P235" i="4"/>
  <c r="P266" i="4"/>
  <c r="P289" i="4"/>
  <c r="P323" i="4"/>
  <c r="P327" i="4"/>
  <c r="P354" i="4"/>
  <c r="P358" i="4"/>
  <c r="P374" i="4"/>
  <c r="P378" i="4"/>
  <c r="P386" i="4"/>
  <c r="P416" i="4"/>
  <c r="P427" i="4"/>
  <c r="P431" i="4"/>
  <c r="I446" i="4"/>
  <c r="P132" i="4"/>
  <c r="P316" i="4"/>
  <c r="P398" i="4"/>
  <c r="P417" i="4"/>
  <c r="P12" i="4"/>
  <c r="P47" i="4"/>
  <c r="P55" i="4"/>
  <c r="P90" i="4"/>
  <c r="P121" i="4"/>
  <c r="P4" i="4"/>
  <c r="P22" i="4"/>
  <c r="P28" i="4"/>
  <c r="P39" i="4"/>
  <c r="P46" i="4"/>
  <c r="P56" i="4"/>
  <c r="P59" i="4"/>
  <c r="P80" i="4"/>
  <c r="P104" i="4"/>
  <c r="P114" i="4"/>
  <c r="P218" i="4"/>
  <c r="P238" i="4"/>
  <c r="P245" i="4"/>
  <c r="P259" i="4"/>
  <c r="P283" i="4"/>
  <c r="P293" i="4"/>
  <c r="P303" i="4"/>
  <c r="P306" i="4"/>
  <c r="P310" i="4"/>
  <c r="P317" i="4"/>
  <c r="P340" i="4"/>
  <c r="P365" i="4"/>
  <c r="P382" i="4"/>
  <c r="P389" i="4"/>
  <c r="P399" i="4"/>
  <c r="P406" i="4"/>
  <c r="P413" i="4"/>
  <c r="P423" i="4"/>
  <c r="P434" i="4"/>
  <c r="P16" i="4"/>
  <c r="P40" i="4"/>
  <c r="P50" i="4"/>
  <c r="P74" i="4"/>
  <c r="P94" i="4"/>
  <c r="P101" i="4"/>
  <c r="P115" i="4"/>
  <c r="P219" i="4"/>
  <c r="P229" i="4"/>
  <c r="P239" i="4"/>
  <c r="P242" i="4"/>
  <c r="P246" i="4"/>
  <c r="P253" i="4"/>
  <c r="P276" i="4"/>
  <c r="P294" i="4"/>
  <c r="P300" i="4"/>
  <c r="P311" i="4"/>
  <c r="P318" i="4"/>
  <c r="P328" i="4"/>
  <c r="P331" i="4"/>
  <c r="P352" i="4"/>
  <c r="P355" i="4"/>
  <c r="P362" i="4"/>
  <c r="P366" i="4"/>
  <c r="P373" i="4"/>
  <c r="P383" i="4"/>
  <c r="P390" i="4"/>
  <c r="P407" i="4"/>
  <c r="P414" i="4"/>
  <c r="P420" i="4"/>
  <c r="P435" i="4"/>
  <c r="I450" i="4"/>
  <c r="H449" i="4"/>
  <c r="P71" i="4"/>
  <c r="P78" i="4"/>
  <c r="P88" i="4"/>
  <c r="P91" i="4"/>
  <c r="P112" i="4"/>
  <c r="P216" i="4"/>
  <c r="P226" i="4"/>
  <c r="P250" i="4"/>
  <c r="P270" i="4"/>
  <c r="P277" i="4"/>
  <c r="P291" i="4"/>
  <c r="P315" i="4"/>
  <c r="P325" i="4"/>
  <c r="P335" i="4"/>
  <c r="P338" i="4"/>
  <c r="P342" i="4"/>
  <c r="H452" i="4"/>
  <c r="P359" i="4"/>
  <c r="P370" i="4"/>
  <c r="P387" i="4"/>
  <c r="P411" i="4"/>
  <c r="P432" i="4"/>
  <c r="P244" i="4"/>
  <c r="P268" i="4"/>
  <c r="P364" i="4"/>
  <c r="P7" i="4"/>
  <c r="P14" i="4"/>
  <c r="P27" i="4"/>
  <c r="P48" i="4"/>
  <c r="P72" i="4"/>
  <c r="P82" i="4"/>
  <c r="P106" i="4"/>
  <c r="P126" i="4"/>
  <c r="P133" i="4"/>
  <c r="P227" i="4"/>
  <c r="P251" i="4"/>
  <c r="P261" i="4"/>
  <c r="P271" i="4"/>
  <c r="P274" i="4"/>
  <c r="P278" i="4"/>
  <c r="P285" i="4"/>
  <c r="P308" i="4"/>
  <c r="P326" i="4"/>
  <c r="P332" i="4"/>
  <c r="P343" i="4"/>
  <c r="P350" i="4"/>
  <c r="P356" i="4"/>
  <c r="P371" i="4"/>
  <c r="P429" i="4"/>
  <c r="I449" i="4"/>
  <c r="H444" i="4"/>
  <c r="P376" i="4"/>
  <c r="I448" i="4"/>
  <c r="G455" i="4"/>
  <c r="P392" i="4"/>
  <c r="I444" i="4"/>
  <c r="P24" i="4"/>
  <c r="P349" i="4"/>
  <c r="H451" i="4"/>
  <c r="H445" i="4"/>
  <c r="I443" i="4"/>
  <c r="D455" i="4"/>
  <c r="H443" i="4"/>
  <c r="P215" i="4"/>
  <c r="P262" i="4"/>
  <c r="H450" i="4"/>
  <c r="P2" i="4"/>
  <c r="H446" i="4"/>
  <c r="P309" i="4"/>
  <c r="P360" i="4"/>
  <c r="P396" i="4"/>
  <c r="P424" i="4"/>
  <c r="P6" i="4"/>
  <c r="P35" i="4"/>
  <c r="P67" i="4"/>
  <c r="P99" i="4"/>
  <c r="P131" i="4"/>
  <c r="P243" i="4"/>
  <c r="P275" i="4"/>
  <c r="P307" i="4"/>
  <c r="P339" i="4"/>
  <c r="H453" i="4"/>
  <c r="P400" i="4"/>
  <c r="E455" i="4"/>
  <c r="I445" i="4"/>
  <c r="I455" i="4" l="1"/>
  <c r="H455" i="4"/>
</calcChain>
</file>

<file path=xl/sharedStrings.xml><?xml version="1.0" encoding="utf-8"?>
<sst xmlns="http://schemas.openxmlformats.org/spreadsheetml/2006/main" count="3617" uniqueCount="197">
  <si>
    <t>Report</t>
  </si>
  <si>
    <t>Execution Successful</t>
  </si>
  <si>
    <t>Coverage %</t>
  </si>
  <si>
    <t>Components</t>
  </si>
  <si>
    <t>Scanned</t>
  </si>
  <si>
    <t>Score</t>
  </si>
  <si>
    <t>Severity</t>
  </si>
  <si>
    <t>Recommendation</t>
  </si>
  <si>
    <t>Issues</t>
  </si>
  <si>
    <t>Evidence Source</t>
  </si>
  <si>
    <t>pdf-gemini-3.1-flash-lite-report-llm-batch-failed.json</t>
  </si>
  <si>
    <t>MEDIUM</t>
  </si>
  <si>
    <t>CAUTION</t>
  </si>
  <si>
    <t>JSON report analysis_completeness/risk_assessment</t>
  </si>
  <si>
    <t>pdf-gemini-3.1-flash-lite-report.json</t>
  </si>
  <si>
    <t>pdf-static-report.json</t>
  </si>
  <si>
    <t>LOW</t>
  </si>
  <si>
    <t>SAFE</t>
  </si>
  <si>
    <t>report-claude-sonnet-4-5-pdf.json</t>
  </si>
  <si>
    <t>report-claude-sonnet-4-6-pdf.json</t>
  </si>
  <si>
    <t>HIGH</t>
  </si>
  <si>
    <t>DO_NOT_INSTALL</t>
  </si>
  <si>
    <t>report-nemotron-3-super-120b-a12b--3rdtime.json</t>
  </si>
  <si>
    <t>report-nemotron-3-super-120b-a12b.json</t>
  </si>
  <si>
    <t>report-openai-gpt5-mini-pdf.json</t>
  </si>
  <si>
    <t>report-openai-gpt5-nano-pdf.json</t>
  </si>
  <si>
    <t>report-openai-gpt5-pdf.json</t>
  </si>
  <si>
    <t>report-pdf-skill-haikyu-4.5.json</t>
  </si>
  <si>
    <t>CRITICAL</t>
  </si>
  <si>
    <t>report-pdf-skill-sonnet-4.5.json</t>
  </si>
  <si>
    <t>Analyzer Family</t>
  </si>
  <si>
    <t>Analyzer Group</t>
  </si>
  <si>
    <t>No-LLM Static</t>
  </si>
  <si>
    <t>Gemini 3.1</t>
  </si>
  <si>
    <t>Claude Family</t>
  </si>
  <si>
    <t>OpenAI GPT-5 Family</t>
  </si>
  <si>
    <t>Nemotron</t>
  </si>
  <si>
    <t>Evidence Summary</t>
  </si>
  <si>
    <t>Static</t>
  </si>
  <si>
    <t>All static pattern analyzers + YARA</t>
  </si>
  <si>
    <t>Completed; planned/completed 192/192</t>
  </si>
  <si>
    <t>Completed; planned/completed 384/384</t>
  </si>
  <si>
    <t>Completed; planned/completed 768/768</t>
  </si>
  <si>
    <t>Completed; planned/completed 576/576</t>
  </si>
  <si>
    <t>analysis_completeness.analyzer_statuses shows static analyzer status; static rows summarize completion/degradation only.</t>
  </si>
  <si>
    <t>MCP</t>
  </si>
  <si>
    <t>Least privilege / tool poisoning / rug pull</t>
  </si>
  <si>
    <t>Completed; planned/completed 3/3</t>
  </si>
  <si>
    <t>Completed; planned/completed 8/8</t>
  </si>
  <si>
    <t>Completed; planned/completed 16/16</t>
  </si>
  <si>
    <t>Completed; planned/completed 12/12</t>
  </si>
  <si>
    <t>analysis_completeness.analyzer_statuses shows MCP analyzer status for each report.</t>
  </si>
  <si>
    <t>AST + taint tracking</t>
  </si>
  <si>
    <t>Completed; planned/completed 32/32</t>
  </si>
  <si>
    <t>Completed; planned/completed 64/64</t>
  </si>
  <si>
    <t>Completed; planned/completed 48/48</t>
  </si>
  <si>
    <t>behavioral_ast and behavioral_taint_tracking status summarized from report analyzer_statuses.</t>
  </si>
  <si>
    <t>Semantic</t>
  </si>
  <si>
    <t>Security / intent / quality policy</t>
  </si>
  <si>
    <t>Disabled by no-LLM configuration</t>
  </si>
  <si>
    <t>Failed/degraded: 6 semantic analyzer statuses; failed units=36</t>
  </si>
  <si>
    <t>Completed; final issues across group=33</t>
  </si>
  <si>
    <t>Completed; final issues across group=16</t>
  </si>
  <si>
    <t>Completed; final issues across group=7</t>
  </si>
  <si>
    <t>Semantic rows are LLM-dependent; failed/degraded statuses are retained where reported.</t>
  </si>
  <si>
    <t>Meta Analyzer</t>
  </si>
  <si>
    <t>Filtering/enrichment</t>
  </si>
  <si>
    <t>Completed; before→after 14→12</t>
  </si>
  <si>
    <t>Completed; before→after 56→33</t>
  </si>
  <si>
    <t>Completed; before→after 56→16</t>
  </si>
  <si>
    <t>Meta failed/degraded in 1 status; before→after 13→7</t>
  </si>
  <si>
    <t>findings_before_filtering and findings_after_filtering summarize candidate-to-final filtering.</t>
  </si>
  <si>
    <t>Finding ID</t>
  </si>
  <si>
    <t>Category</t>
  </si>
  <si>
    <t>LP3</t>
  </si>
  <si>
    <t>MCP Least Privilege</t>
  </si>
  <si>
    <t>issues[] in JSON</t>
  </si>
  <si>
    <t>SDI-2</t>
  </si>
  <si>
    <t>SQP-2</t>
  </si>
  <si>
    <t>SQP-1</t>
  </si>
  <si>
    <t>TP4</t>
  </si>
  <si>
    <t>MCP Tool Poisoning</t>
  </si>
  <si>
    <t>SDI-1</t>
  </si>
  <si>
    <t>SQP-3</t>
  </si>
  <si>
    <t>Status</t>
  </si>
  <si>
    <t>Provider</t>
  </si>
  <si>
    <t>Model</t>
  </si>
  <si>
    <t>Node/Analyzer</t>
  </si>
  <si>
    <t>Usage Source</t>
  </si>
  <si>
    <t>Prompt Tokens</t>
  </si>
  <si>
    <t>Completion Tokens</t>
  </si>
  <si>
    <t>Cached Tokens</t>
  </si>
  <si>
    <t>Cache Write Tokens</t>
  </si>
  <si>
    <t>Total Tokens</t>
  </si>
  <si>
    <t>Input Rate USD/1M</t>
  </si>
  <si>
    <t>Cached Input Rate USD/1M</t>
  </si>
  <si>
    <t>Cache Write Rate USD/1M</t>
  </si>
  <si>
    <t>Output Rate USD/1M</t>
  </si>
  <si>
    <t>Input Cost USD</t>
  </si>
  <si>
    <t>Output Cost USD</t>
  </si>
  <si>
    <t>Step Cost USD</t>
  </si>
  <si>
    <t>Pricing Basis / Source</t>
  </si>
  <si>
    <t>Cost Note</t>
  </si>
  <si>
    <t>openai</t>
  </si>
  <si>
    <t>gemini-3.1-flash-lite</t>
  </si>
  <si>
    <t>mcp_tool_poisoning</t>
  </si>
  <si>
    <t>provider_response</t>
  </si>
  <si>
    <t>Google Gemini API Standard paid text pricing | https://ai.google.dev/gemini-api/docs/pricing</t>
  </si>
  <si>
    <t>Estimated paid-standard token cost; excludes free-tier credits, taxes, batch/flex/priority discounts, and non-token charges.</t>
  </si>
  <si>
    <t>semantic_developer_intent</t>
  </si>
  <si>
    <t>semantic_quality_policy</t>
  </si>
  <si>
    <t>semantic_security_discovery</t>
  </si>
  <si>
    <t>meta_analyzer</t>
  </si>
  <si>
    <t>anthropic</t>
  </si>
  <si>
    <t>claude-sonnet-4-5-20250929</t>
  </si>
  <si>
    <t>Anthropic Claude API standard pricing | https://platform.claude.com/docs/en/about-claude/pricing</t>
  </si>
  <si>
    <t>claude-sonnet-4-6</t>
  </si>
  <si>
    <t>nv_build</t>
  </si>
  <si>
    <t>nvidia/nemotron-3-super-120b-a12b</t>
  </si>
  <si>
    <t>Rate unavailable in official attached/source evidence | N/A</t>
  </si>
  <si>
    <t>Cost not calculated: pricing rate not available/mapped from official source evidence in this workbook update.</t>
  </si>
  <si>
    <t>gpt-5.4-mini-2026-03-17</t>
  </si>
  <si>
    <t>OpenAI API direct standard pricing | https://platform.openai.com/pricing</t>
  </si>
  <si>
    <t>gpt-5.4-nano-2026-03-17</t>
  </si>
  <si>
    <t>gpt-5.4-2026-03-05</t>
  </si>
  <si>
    <t>claude-haiku-4-5-20251001</t>
  </si>
  <si>
    <t>Scan-Level LLM Cost Summary</t>
  </si>
  <si>
    <t>Estimated Input Cost USD</t>
  </si>
  <si>
    <t>Estimated Scan Cost USD</t>
  </si>
  <si>
    <t>Estimated from report metadata.inference_usage token counts and mapped paid-standard rates.</t>
  </si>
  <si>
    <t>Cost not calculated: official NVIDIA token pricing not available/mapped in this update.</t>
  </si>
  <si>
    <t>Grand Total</t>
  </si>
  <si>
    <t>Dimension</t>
  </si>
  <si>
    <t>Factor</t>
  </si>
  <si>
    <t>Expected</t>
  </si>
  <si>
    <t>Observed Result</t>
  </si>
  <si>
    <t>Confidence</t>
  </si>
  <si>
    <t>Impact/Finding</t>
  </si>
  <si>
    <t>Scan Coverage</t>
  </si>
  <si>
    <t>File Discovery</t>
  </si>
  <si>
    <t>SkillSpector should identify skill components</t>
  </si>
  <si>
    <t>Reports contain total_components and components list; most completed runs show 12 components</t>
  </si>
  <si>
    <t>OBSERVED</t>
  </si>
  <si>
    <t>Discovery information is recorded</t>
  </si>
  <si>
    <t>File Inspection</t>
  </si>
  <si>
    <t>Discovered files should have inspection status</t>
  </si>
  <si>
    <t>Reports expose fully_inspected_files, partially_inspected_files, entirely_uninspected_files</t>
  </si>
  <si>
    <t>Need compare against actual skill files for completeness</t>
  </si>
  <si>
    <t>Analyzer Coverage</t>
  </si>
  <si>
    <t>Analyzer Execution</t>
  </si>
  <si>
    <t>Applicable analyzers should execute or record failure</t>
  </si>
  <si>
    <t>25 analyzer statuses recorded per report with completed/failed/skipped counts</t>
  </si>
  <si>
    <t>PASS</t>
  </si>
  <si>
    <t>Execution status is traceable</t>
  </si>
  <si>
    <t>Static Analysis</t>
  </si>
  <si>
    <t>Rule Execution</t>
  </si>
  <si>
    <t>Static rules should execute where enabled</t>
  </si>
  <si>
    <t>Static report exists and analyzer statuses include static analyzers</t>
  </si>
  <si>
    <t>Need rule-level validation</t>
  </si>
  <si>
    <t>MCP Analysis</t>
  </si>
  <si>
    <t>MCP Analyzer Execution</t>
  </si>
  <si>
    <t>MCP analyzers should record execution</t>
  </si>
  <si>
    <t>mcp_least_privilege, mcp_rug_pull and mcp_tool_poisoning statuses recorded as completed in sampled reports</t>
  </si>
  <si>
    <t>MCP execution is visible</t>
  </si>
  <si>
    <t>Behavioral Analysis</t>
  </si>
  <si>
    <t>AST Execution</t>
  </si>
  <si>
    <t>AST analysis should execute</t>
  </si>
  <si>
    <t>behavioral_ast shows completed planned_work 8 completed 8 in reviewed reports</t>
  </si>
  <si>
    <t>AST execution recorded</t>
  </si>
  <si>
    <t>Taint Execution</t>
  </si>
  <si>
    <t>Taint analysis should execute</t>
  </si>
  <si>
    <t>behavioral_taint_tracking shows completed planned_work 8 completed 8</t>
  </si>
  <si>
    <t>Taint execution recorded</t>
  </si>
  <si>
    <t>LLM Semantic</t>
  </si>
  <si>
    <t>LLM Failure Handling</t>
  </si>
  <si>
    <t>LLM failures should be visible</t>
  </si>
  <si>
    <t>Gemini failed report records semantic analyzer failures in limitations</t>
  </si>
  <si>
    <t>Failure is not hidden in report</t>
  </si>
  <si>
    <t>Model Comparison</t>
  </si>
  <si>
    <t>Different models may produce different semantic findings</t>
  </si>
  <si>
    <t>Scores/findings differ across model reports</t>
  </si>
  <si>
    <t>Requires deeper causal analysis</t>
  </si>
  <si>
    <t>Scoring</t>
  </si>
  <si>
    <t>Final Score</t>
  </si>
  <si>
    <t>Score should be reproducible</t>
  </si>
  <si>
    <t>Reports provide score/severity/recommendation values</t>
  </si>
  <si>
    <t>Formula reconstruction still required</t>
  </si>
  <si>
    <t>Logs vs Report</t>
  </si>
  <si>
    <t>Execution Correlation</t>
  </si>
  <si>
    <t>Logs should validate report claims</t>
  </si>
  <si>
    <t>Logs are available but require mapping to exact runs</t>
  </si>
  <si>
    <t>Need log-to-report matching</t>
  </si>
  <si>
    <t>Overall Effectiveness</t>
  </si>
  <si>
    <t>Cross Model Consistency</t>
  </si>
  <si>
    <t>Compare model differences</t>
  </si>
  <si>
    <t>Same skill generated different scores: 21-86 range in provided reports</t>
  </si>
  <si>
    <t>Difference requires finding-level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</si>
</sst>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0000"/>
  </numFmts>
  <fonts count="8">
    <font>
      <sz val="11"/>
      <color theme="1"/>
      <name val="Calibri"/>
    </font>
    <font>
      <sz val="10"/>
      <color rgb="FF1F1F1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</font>
    <font>
      <b/>
      <sz val="11"/>
      <color rgb="FF1F4E78"/>
      <name val="Calibri"/>
    </font>
    <font>
      <sz val="11"/>
      <name val="Calibri"/>
    </font>
    <font>
      <b/>
      <sz val="12"/>
      <color rgb="FF1F4E78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</borders>
  <cellStyleXfs count="1">
    <xf numFmtId="0" fontId="0" fillId="0" borderId="8"/>
  </cellStyleXfs>
  <cellXfs count="31">
    <xf numFmtId="0" fontId="0" fillId="0" borderId="0" xfId="0" applyBorder="1"/>
    <xf numFmtId="0" fontId="1" fillId="2" borderId="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top"/>
    </xf>
    <xf numFmtId="0" fontId="3" fillId="4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4" fillId="6" borderId="9" xfId="0" applyFont="1" applyFill="1" applyBorder="1" applyAlignment="1">
      <alignment horizontal="left" vertical="top" wrapText="1"/>
    </xf>
    <xf numFmtId="0" fontId="1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6" borderId="9" xfId="0" applyFont="1" applyFill="1" applyBorder="1" applyAlignment="1">
      <alignment horizontal="left" vertical="top" wrapText="1"/>
    </xf>
    <xf numFmtId="0" fontId="5" fillId="6" borderId="9" xfId="0" applyFont="1" applyFill="1" applyBorder="1" applyAlignment="1">
      <alignment horizontal="center" vertical="top" wrapText="1"/>
    </xf>
    <xf numFmtId="164" fontId="5" fillId="6" borderId="9" xfId="0" applyNumberFormat="1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horizontal="center" vertical="top" wrapText="1"/>
    </xf>
    <xf numFmtId="164" fontId="5" fillId="5" borderId="9" xfId="0" applyNumberFormat="1" applyFont="1" applyFill="1" applyBorder="1" applyAlignment="1">
      <alignment horizontal="center" vertical="top" wrapText="1"/>
    </xf>
    <xf numFmtId="0" fontId="7" fillId="7" borderId="9" xfId="0" applyFont="1" applyFill="1" applyBorder="1" applyAlignment="1">
      <alignment horizontal="left" vertical="top"/>
    </xf>
    <xf numFmtId="0" fontId="5" fillId="7" borderId="9" xfId="0" applyFont="1" applyFill="1" applyBorder="1" applyAlignment="1">
      <alignment horizontal="left" vertical="top"/>
    </xf>
    <xf numFmtId="164" fontId="7" fillId="7" borderId="9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30">
    <dxf>
      <font>
        <b/>
        <color rgb="FFC65911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ill>
        <patternFill>
          <bgColor rgb="FFF8FAF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ill>
        <patternFill>
          <bgColor rgb="FFF8FAF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ill>
        <patternFill>
          <bgColor rgb="FFF8FAF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anInventoryTbl" displayName="ScanInventoryTbl" ref="A1:J13" totalsRowShown="0">
  <tableColumns count="10">
    <tableColumn id="1" xr3:uid="{00000000-0010-0000-0000-000001000000}" name="Report"/>
    <tableColumn id="3" xr3:uid="{00000000-0010-0000-0000-000003000000}" name="Execution Successful"/>
    <tableColumn id="4" xr3:uid="{00000000-0010-0000-0000-000004000000}" name="Coverage %"/>
    <tableColumn id="5" xr3:uid="{00000000-0010-0000-0000-000005000000}" name="Components"/>
    <tableColumn id="6" xr3:uid="{00000000-0010-0000-0000-000006000000}" name="Scanned"/>
    <tableColumn id="7" xr3:uid="{00000000-0010-0000-0000-000007000000}" name="Score"/>
    <tableColumn id="8" xr3:uid="{00000000-0010-0000-0000-000008000000}" name="Severity"/>
    <tableColumn id="9" xr3:uid="{00000000-0010-0000-0000-000009000000}" name="Recommendation"/>
    <tableColumn id="10" xr3:uid="{00000000-0010-0000-0000-00000A000000}" name="Issues"/>
    <tableColumn id="11" xr3:uid="{00000000-0010-0000-0000-00000B000000}" name="Evidence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FindingsComparisonTbl" displayName="FindingsComparisonTbl" ref="A1:E70" totalsRowShown="0">
  <tableColumns count="5">
    <tableColumn id="1" xr3:uid="{00000000-0010-0000-0100-000001000000}" name="Report"/>
    <tableColumn id="2" xr3:uid="{00000000-0010-0000-0100-000002000000}" name="Finding ID"/>
    <tableColumn id="3" xr3:uid="{00000000-0010-0000-0100-000003000000}" name="Category"/>
    <tableColumn id="4" xr3:uid="{00000000-0010-0000-0100-000004000000}" name="Severity"/>
    <tableColumn id="6" xr3:uid="{00000000-0010-0000-0100-000006000000}" name="Evidence 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MasterEvaluationTbl" displayName="MasterEvaluationTbl" ref="A1:G13" totalsRowShown="0">
  <tableColumns count="7">
    <tableColumn id="1" xr3:uid="{00000000-0010-0000-0300-000001000000}" name="Dimension"/>
    <tableColumn id="2" xr3:uid="{00000000-0010-0000-0300-000002000000}" name="Factor"/>
    <tableColumn id="3" xr3:uid="{00000000-0010-0000-0300-000003000000}" name="Expected"/>
    <tableColumn id="4" xr3:uid="{00000000-0010-0000-0300-000004000000}" name="Observed Result"/>
    <tableColumn id="8" xr3:uid="{00000000-0010-0000-0300-000008000000}" name="Status"/>
    <tableColumn id="9" xr3:uid="{00000000-0010-0000-0300-000009000000}" name="Confidence"/>
    <tableColumn id="10" xr3:uid="{00000000-0010-0000-0300-00000A000000}" name="Impact/Fin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A4" workbookViewId="0">
      <selection activeCell="A14" sqref="A14"/>
    </sheetView>
  </sheetViews>
  <sheetFormatPr defaultRowHeight="14.5"/>
  <cols>
    <col min="1" max="1" width="52" customWidth="1"/>
    <col min="2" max="2" width="18" customWidth="1"/>
    <col min="3" max="3" width="14" customWidth="1"/>
    <col min="4" max="4" width="13" customWidth="1"/>
    <col min="5" max="5" width="12" customWidth="1"/>
    <col min="6" max="6" width="10" customWidth="1"/>
    <col min="7" max="7" width="15" customWidth="1"/>
    <col min="8" max="8" width="22" customWidth="1"/>
    <col min="9" max="9" width="10" customWidth="1"/>
    <col min="10" max="10" width="52" hidden="1" customWidth="1"/>
  </cols>
  <sheetData>
    <row r="1" spans="1:10" ht="28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0" ht="25.4" customHeight="1">
      <c r="A2" s="3" t="s">
        <v>10</v>
      </c>
      <c r="B2" s="4" t="b">
        <v>0</v>
      </c>
      <c r="C2" s="4">
        <v>0</v>
      </c>
      <c r="D2" s="4">
        <v>12</v>
      </c>
      <c r="E2" s="4">
        <v>0</v>
      </c>
      <c r="F2" s="4">
        <v>36</v>
      </c>
      <c r="G2" s="4" t="s">
        <v>11</v>
      </c>
      <c r="H2" s="4" t="s">
        <v>12</v>
      </c>
      <c r="I2" s="4">
        <v>6</v>
      </c>
      <c r="J2" s="5" t="s">
        <v>13</v>
      </c>
    </row>
    <row r="3" spans="1:10" ht="25.4" customHeight="1">
      <c r="A3" s="3" t="s">
        <v>14</v>
      </c>
      <c r="B3" s="4" t="b">
        <v>0</v>
      </c>
      <c r="C3" s="4">
        <v>0</v>
      </c>
      <c r="D3" s="4">
        <v>12</v>
      </c>
      <c r="E3" s="4">
        <v>0</v>
      </c>
      <c r="F3" s="4">
        <v>38</v>
      </c>
      <c r="G3" s="4" t="s">
        <v>11</v>
      </c>
      <c r="H3" s="4" t="s">
        <v>12</v>
      </c>
      <c r="I3" s="4">
        <v>6</v>
      </c>
      <c r="J3" s="5" t="s">
        <v>13</v>
      </c>
    </row>
    <row r="4" spans="1:10" ht="25.4" customHeight="1">
      <c r="A4" s="3" t="s">
        <v>15</v>
      </c>
      <c r="B4" s="4" t="b">
        <v>1</v>
      </c>
      <c r="C4" s="4">
        <v>100</v>
      </c>
      <c r="D4" s="4">
        <v>12</v>
      </c>
      <c r="E4" s="4">
        <v>12</v>
      </c>
      <c r="F4" s="4">
        <v>7</v>
      </c>
      <c r="G4" s="4" t="s">
        <v>16</v>
      </c>
      <c r="H4" s="4" t="s">
        <v>17</v>
      </c>
      <c r="I4" s="4">
        <v>1</v>
      </c>
      <c r="J4" s="5" t="s">
        <v>13</v>
      </c>
    </row>
    <row r="5" spans="1:10" ht="25.4" customHeight="1">
      <c r="A5" s="3" t="s">
        <v>18</v>
      </c>
      <c r="B5" s="4" t="b">
        <v>1</v>
      </c>
      <c r="C5" s="4">
        <v>100</v>
      </c>
      <c r="D5" s="4">
        <v>12</v>
      </c>
      <c r="E5" s="4">
        <v>12</v>
      </c>
      <c r="F5" s="4">
        <v>28</v>
      </c>
      <c r="G5" s="4" t="s">
        <v>11</v>
      </c>
      <c r="H5" s="4" t="s">
        <v>12</v>
      </c>
      <c r="I5" s="4">
        <v>5</v>
      </c>
      <c r="J5" s="5" t="s">
        <v>13</v>
      </c>
    </row>
    <row r="6" spans="1:10" ht="25.4" customHeight="1">
      <c r="A6" s="3" t="s">
        <v>19</v>
      </c>
      <c r="B6" s="4" t="b">
        <v>1</v>
      </c>
      <c r="C6" s="4">
        <v>100</v>
      </c>
      <c r="D6" s="4">
        <v>12</v>
      </c>
      <c r="E6" s="4">
        <v>12</v>
      </c>
      <c r="F6" s="4">
        <v>53</v>
      </c>
      <c r="G6" s="4" t="s">
        <v>20</v>
      </c>
      <c r="H6" s="4" t="s">
        <v>21</v>
      </c>
      <c r="I6" s="4">
        <v>10</v>
      </c>
      <c r="J6" s="5" t="s">
        <v>13</v>
      </c>
    </row>
    <row r="7" spans="1:10" ht="25.4" customHeight="1">
      <c r="A7" s="3" t="s">
        <v>22</v>
      </c>
      <c r="B7" s="4" t="b">
        <v>0</v>
      </c>
      <c r="C7" s="4">
        <v>100</v>
      </c>
      <c r="D7" s="4">
        <v>12</v>
      </c>
      <c r="E7" s="4">
        <v>12</v>
      </c>
      <c r="F7" s="4">
        <v>23</v>
      </c>
      <c r="G7" s="4" t="s">
        <v>11</v>
      </c>
      <c r="H7" s="4" t="s">
        <v>12</v>
      </c>
      <c r="I7" s="4">
        <v>4</v>
      </c>
      <c r="J7" s="5" t="s">
        <v>13</v>
      </c>
    </row>
    <row r="8" spans="1:10" ht="25.4" customHeight="1">
      <c r="A8" s="3" t="s">
        <v>23</v>
      </c>
      <c r="B8" s="4" t="b">
        <v>1</v>
      </c>
      <c r="C8" s="4">
        <v>100</v>
      </c>
      <c r="D8" s="4">
        <v>12</v>
      </c>
      <c r="E8" s="4">
        <v>12</v>
      </c>
      <c r="F8" s="4">
        <v>21</v>
      </c>
      <c r="G8" s="4" t="s">
        <v>11</v>
      </c>
      <c r="H8" s="4" t="s">
        <v>12</v>
      </c>
      <c r="I8" s="4">
        <v>3</v>
      </c>
      <c r="J8" s="5" t="s">
        <v>13</v>
      </c>
    </row>
    <row r="9" spans="1:10" ht="25.4" customHeight="1">
      <c r="A9" s="3" t="s">
        <v>24</v>
      </c>
      <c r="B9" s="4" t="b">
        <v>1</v>
      </c>
      <c r="C9" s="4">
        <v>100</v>
      </c>
      <c r="D9" s="4">
        <v>12</v>
      </c>
      <c r="E9" s="4">
        <v>12</v>
      </c>
      <c r="F9" s="4">
        <v>65</v>
      </c>
      <c r="G9" s="4" t="s">
        <v>20</v>
      </c>
      <c r="H9" s="4" t="s">
        <v>21</v>
      </c>
      <c r="I9" s="4">
        <v>3</v>
      </c>
      <c r="J9" s="5" t="s">
        <v>13</v>
      </c>
    </row>
    <row r="10" spans="1:10" ht="25.4" customHeight="1">
      <c r="A10" s="3" t="s">
        <v>25</v>
      </c>
      <c r="B10" s="4" t="b">
        <v>1</v>
      </c>
      <c r="C10" s="4">
        <v>100</v>
      </c>
      <c r="D10" s="4">
        <v>12</v>
      </c>
      <c r="E10" s="4">
        <v>12</v>
      </c>
      <c r="F10" s="4">
        <v>45</v>
      </c>
      <c r="G10" s="4" t="s">
        <v>11</v>
      </c>
      <c r="H10" s="4" t="s">
        <v>12</v>
      </c>
      <c r="I10" s="4">
        <v>9</v>
      </c>
      <c r="J10" s="5" t="s">
        <v>13</v>
      </c>
    </row>
    <row r="11" spans="1:10" ht="25.4" customHeight="1">
      <c r="A11" s="3" t="s">
        <v>26</v>
      </c>
      <c r="B11" s="4" t="b">
        <v>1</v>
      </c>
      <c r="C11" s="4">
        <v>100</v>
      </c>
      <c r="D11" s="4">
        <v>12</v>
      </c>
      <c r="E11" s="4">
        <v>12</v>
      </c>
      <c r="F11" s="4">
        <v>66</v>
      </c>
      <c r="G11" s="4" t="s">
        <v>20</v>
      </c>
      <c r="H11" s="4" t="s">
        <v>21</v>
      </c>
      <c r="I11" s="4">
        <v>4</v>
      </c>
      <c r="J11" s="5" t="s">
        <v>13</v>
      </c>
    </row>
    <row r="12" spans="1:10" ht="25.4" customHeight="1">
      <c r="A12" s="3" t="s">
        <v>27</v>
      </c>
      <c r="B12" s="4" t="b">
        <v>1</v>
      </c>
      <c r="C12" s="4">
        <v>100</v>
      </c>
      <c r="D12" s="4">
        <v>12</v>
      </c>
      <c r="E12" s="4">
        <v>12</v>
      </c>
      <c r="F12" s="4">
        <v>86</v>
      </c>
      <c r="G12" s="4" t="s">
        <v>28</v>
      </c>
      <c r="H12" s="4" t="s">
        <v>21</v>
      </c>
      <c r="I12" s="4">
        <v>12</v>
      </c>
      <c r="J12" s="5" t="s">
        <v>13</v>
      </c>
    </row>
    <row r="13" spans="1:10" ht="25.4" customHeight="1">
      <c r="A13" s="6" t="s">
        <v>29</v>
      </c>
      <c r="B13" s="7" t="b">
        <v>1</v>
      </c>
      <c r="C13" s="7">
        <v>100</v>
      </c>
      <c r="D13" s="7">
        <v>12</v>
      </c>
      <c r="E13" s="7">
        <v>12</v>
      </c>
      <c r="F13" s="7">
        <v>32</v>
      </c>
      <c r="G13" s="7" t="s">
        <v>11</v>
      </c>
      <c r="H13" s="7" t="s">
        <v>12</v>
      </c>
      <c r="I13" s="7">
        <v>6</v>
      </c>
      <c r="J13" s="8" t="s">
        <v>13</v>
      </c>
    </row>
  </sheetData>
  <conditionalFormatting sqref="B2:B13">
    <cfRule type="expression" dxfId="29" priority="1">
      <formula>B2=TRUE</formula>
    </cfRule>
    <cfRule type="expression" dxfId="28" priority="2">
      <formula>B2=FALSE</formula>
    </cfRule>
  </conditionalFormatting>
  <conditionalFormatting sqref="C2:C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68" workbookViewId="0">
      <pane ySplit="1" topLeftCell="A69" activePane="bottomLeft" state="frozen"/>
      <selection pane="bottomLeft" activeCell="B71" sqref="B71"/>
    </sheetView>
  </sheetViews>
  <sheetFormatPr defaultRowHeight="14.5"/>
  <cols>
    <col min="1" max="1" width="20" customWidth="1"/>
    <col min="2" max="2" width="34" customWidth="1"/>
    <col min="3" max="4" width="30" customWidth="1"/>
    <col min="5" max="5" width="32" customWidth="1"/>
    <col min="6" max="6" width="34" customWidth="1"/>
    <col min="7" max="7" width="30" customWidth="1"/>
    <col min="8" max="8" width="52" customWidth="1"/>
    <col min="9" max="12" width="3" customWidth="1"/>
  </cols>
  <sheetData>
    <row r="1" spans="1:8" ht="34" customHeight="1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</row>
    <row r="2" spans="1:8" ht="88" customHeight="1">
      <c r="A2" s="14" t="s">
        <v>38</v>
      </c>
      <c r="B2" s="15" t="s">
        <v>39</v>
      </c>
      <c r="C2" s="15" t="s">
        <v>40</v>
      </c>
      <c r="D2" s="15" t="s">
        <v>41</v>
      </c>
      <c r="E2" s="15" t="s">
        <v>42</v>
      </c>
      <c r="F2" s="15" t="s">
        <v>43</v>
      </c>
      <c r="G2" s="15" t="s">
        <v>41</v>
      </c>
      <c r="H2" s="16" t="s">
        <v>44</v>
      </c>
    </row>
    <row r="3" spans="1:8" ht="88" customHeight="1">
      <c r="A3" s="17" t="s">
        <v>45</v>
      </c>
      <c r="B3" s="18" t="s">
        <v>46</v>
      </c>
      <c r="C3" s="18" t="s">
        <v>47</v>
      </c>
      <c r="D3" s="18" t="s">
        <v>48</v>
      </c>
      <c r="E3" s="18" t="s">
        <v>49</v>
      </c>
      <c r="F3" s="18" t="s">
        <v>50</v>
      </c>
      <c r="G3" s="18" t="s">
        <v>48</v>
      </c>
      <c r="H3" s="19" t="s">
        <v>51</v>
      </c>
    </row>
    <row r="4" spans="1:8" ht="88" customHeight="1">
      <c r="A4" s="14"/>
      <c r="B4" s="15" t="s">
        <v>52</v>
      </c>
      <c r="C4" s="15" t="s">
        <v>49</v>
      </c>
      <c r="D4" s="15" t="s">
        <v>53</v>
      </c>
      <c r="E4" s="15" t="s">
        <v>54</v>
      </c>
      <c r="F4" s="15" t="s">
        <v>55</v>
      </c>
      <c r="G4" s="15" t="s">
        <v>53</v>
      </c>
      <c r="H4" s="16" t="s">
        <v>56</v>
      </c>
    </row>
    <row r="5" spans="1:8" ht="88" customHeight="1">
      <c r="A5" s="17" t="s">
        <v>57</v>
      </c>
      <c r="B5" s="18" t="s">
        <v>58</v>
      </c>
      <c r="C5" s="18" t="s">
        <v>59</v>
      </c>
      <c r="D5" s="18" t="s">
        <v>60</v>
      </c>
      <c r="E5" s="18" t="s">
        <v>61</v>
      </c>
      <c r="F5" s="18" t="s">
        <v>62</v>
      </c>
      <c r="G5" s="18" t="s">
        <v>63</v>
      </c>
      <c r="H5" s="19" t="s">
        <v>64</v>
      </c>
    </row>
    <row r="6" spans="1:8" ht="88" customHeight="1">
      <c r="A6" s="14" t="s">
        <v>65</v>
      </c>
      <c r="B6" s="15" t="s">
        <v>66</v>
      </c>
      <c r="C6" s="15" t="s">
        <v>59</v>
      </c>
      <c r="D6" s="15" t="s">
        <v>67</v>
      </c>
      <c r="E6" s="15" t="s">
        <v>68</v>
      </c>
      <c r="F6" s="15" t="s">
        <v>69</v>
      </c>
      <c r="G6" s="15" t="s">
        <v>70</v>
      </c>
      <c r="H6" s="16" t="s">
        <v>71</v>
      </c>
    </row>
    <row r="7" spans="1:8" ht="27.5" customHeight="1">
      <c r="A7" s="3"/>
      <c r="B7" s="4"/>
      <c r="C7" s="4"/>
      <c r="D7" s="4"/>
      <c r="E7" s="4"/>
      <c r="F7" s="4"/>
      <c r="G7" s="5"/>
    </row>
    <row r="8" spans="1:8" ht="27.5" customHeight="1">
      <c r="A8" s="3"/>
      <c r="B8" s="4"/>
      <c r="C8" s="4"/>
      <c r="D8" s="4"/>
      <c r="E8" s="4"/>
      <c r="F8" s="4"/>
      <c r="G8" s="5"/>
    </row>
    <row r="9" spans="1:8" ht="27.5" customHeight="1">
      <c r="A9" s="3"/>
      <c r="B9" s="4"/>
      <c r="C9" s="4"/>
      <c r="D9" s="4"/>
      <c r="E9" s="4"/>
      <c r="F9" s="4"/>
      <c r="G9" s="5"/>
    </row>
    <row r="10" spans="1:8" ht="27.5" customHeight="1">
      <c r="A10" s="3"/>
      <c r="B10" s="4"/>
      <c r="C10" s="4"/>
      <c r="D10" s="4"/>
      <c r="E10" s="4"/>
      <c r="F10" s="4"/>
      <c r="G10" s="5"/>
    </row>
    <row r="11" spans="1:8" ht="27.5" customHeight="1">
      <c r="A11" s="3"/>
      <c r="B11" s="4"/>
      <c r="C11" s="4"/>
      <c r="D11" s="4"/>
      <c r="E11" s="4"/>
      <c r="F11" s="4"/>
      <c r="G11" s="5"/>
    </row>
    <row r="12" spans="1:8" ht="27.5" customHeight="1">
      <c r="A12" s="3"/>
      <c r="B12" s="4"/>
      <c r="C12" s="4"/>
      <c r="D12" s="4"/>
      <c r="E12" s="4"/>
      <c r="F12" s="4"/>
      <c r="G12" s="5"/>
    </row>
    <row r="13" spans="1:8" ht="27.5" customHeight="1">
      <c r="A13" s="3"/>
      <c r="B13" s="4"/>
      <c r="C13" s="4"/>
      <c r="D13" s="4"/>
      <c r="E13" s="4"/>
      <c r="F13" s="4"/>
      <c r="G13" s="5"/>
    </row>
    <row r="14" spans="1:8" ht="27.5" customHeight="1">
      <c r="A14" s="3"/>
      <c r="B14" s="4"/>
      <c r="C14" s="4"/>
      <c r="D14" s="4"/>
      <c r="E14" s="4"/>
      <c r="F14" s="4"/>
      <c r="G14" s="5"/>
    </row>
    <row r="15" spans="1:8" ht="27.5" customHeight="1">
      <c r="A15" s="3"/>
      <c r="B15" s="4"/>
      <c r="C15" s="4"/>
      <c r="D15" s="4"/>
      <c r="E15" s="4"/>
      <c r="F15" s="4"/>
      <c r="G15" s="5"/>
    </row>
    <row r="16" spans="1:8" ht="27.5" customHeight="1">
      <c r="A16" s="3"/>
      <c r="B16" s="4"/>
      <c r="C16" s="4"/>
      <c r="D16" s="4"/>
      <c r="E16" s="4"/>
      <c r="F16" s="4"/>
      <c r="G16" s="5"/>
    </row>
    <row r="17" spans="1:7" ht="27.5" customHeight="1">
      <c r="A17" s="3"/>
      <c r="B17" s="4"/>
      <c r="C17" s="4"/>
      <c r="D17" s="4"/>
      <c r="E17" s="4"/>
      <c r="F17" s="4"/>
      <c r="G17" s="5"/>
    </row>
    <row r="18" spans="1:7" ht="27.5" customHeight="1">
      <c r="A18" s="3"/>
      <c r="B18" s="4"/>
      <c r="C18" s="4"/>
      <c r="D18" s="4"/>
      <c r="E18" s="4"/>
      <c r="F18" s="4"/>
      <c r="G18" s="5"/>
    </row>
    <row r="19" spans="1:7" ht="27.5" customHeight="1">
      <c r="A19" s="3"/>
      <c r="B19" s="4"/>
      <c r="C19" s="4"/>
      <c r="D19" s="4"/>
      <c r="E19" s="4"/>
      <c r="F19" s="4"/>
      <c r="G19" s="5"/>
    </row>
    <row r="20" spans="1:7" ht="27.5" customHeight="1">
      <c r="A20" s="3"/>
      <c r="B20" s="4"/>
      <c r="C20" s="4"/>
      <c r="D20" s="4"/>
      <c r="E20" s="4"/>
      <c r="F20" s="4"/>
      <c r="G20" s="5"/>
    </row>
    <row r="21" spans="1:7" ht="27.5" customHeight="1">
      <c r="A21" s="3"/>
      <c r="B21" s="4"/>
      <c r="C21" s="4"/>
      <c r="D21" s="4"/>
      <c r="E21" s="4"/>
      <c r="F21" s="4"/>
      <c r="G21" s="5"/>
    </row>
    <row r="22" spans="1:7" ht="27.5" customHeight="1">
      <c r="A22" s="3"/>
      <c r="B22" s="4"/>
      <c r="C22" s="4"/>
      <c r="D22" s="4"/>
      <c r="E22" s="4"/>
      <c r="F22" s="4"/>
      <c r="G22" s="5"/>
    </row>
    <row r="23" spans="1:7" ht="27.5" customHeight="1">
      <c r="A23" s="3"/>
      <c r="B23" s="4"/>
      <c r="C23" s="4"/>
      <c r="D23" s="4"/>
      <c r="E23" s="4"/>
      <c r="F23" s="4"/>
      <c r="G23" s="5"/>
    </row>
    <row r="24" spans="1:7" ht="27.5" customHeight="1">
      <c r="A24" s="3"/>
      <c r="B24" s="4"/>
      <c r="C24" s="4"/>
      <c r="D24" s="4"/>
      <c r="E24" s="4"/>
      <c r="F24" s="4"/>
      <c r="G24" s="5"/>
    </row>
    <row r="25" spans="1:7" ht="27.5" customHeight="1">
      <c r="A25" s="3"/>
      <c r="B25" s="4"/>
      <c r="C25" s="4"/>
      <c r="D25" s="4"/>
      <c r="E25" s="4"/>
      <c r="F25" s="4"/>
      <c r="G25" s="5"/>
    </row>
    <row r="26" spans="1:7" ht="27.5" customHeight="1">
      <c r="A26" s="3"/>
      <c r="B26" s="4"/>
      <c r="C26" s="4"/>
      <c r="D26" s="4"/>
      <c r="E26" s="4"/>
      <c r="F26" s="4"/>
      <c r="G26" s="5"/>
    </row>
    <row r="27" spans="1:7" ht="27.5" customHeight="1">
      <c r="A27" s="3"/>
      <c r="B27" s="4"/>
      <c r="C27" s="4"/>
      <c r="D27" s="4"/>
      <c r="E27" s="4"/>
      <c r="F27" s="4"/>
      <c r="G27" s="5"/>
    </row>
    <row r="28" spans="1:7" ht="27.5" customHeight="1">
      <c r="A28" s="3"/>
      <c r="B28" s="4"/>
      <c r="C28" s="4"/>
      <c r="D28" s="4"/>
      <c r="E28" s="4"/>
      <c r="F28" s="4"/>
      <c r="G28" s="5"/>
    </row>
    <row r="29" spans="1:7" ht="27.5" customHeight="1">
      <c r="A29" s="3"/>
      <c r="B29" s="4"/>
      <c r="C29" s="4"/>
      <c r="D29" s="4"/>
      <c r="E29" s="4"/>
      <c r="F29" s="4"/>
      <c r="G29" s="5"/>
    </row>
    <row r="30" spans="1:7" ht="27.5" customHeight="1">
      <c r="A30" s="3"/>
      <c r="B30" s="4"/>
      <c r="C30" s="4"/>
      <c r="D30" s="4"/>
      <c r="E30" s="4"/>
      <c r="F30" s="4"/>
      <c r="G30" s="5"/>
    </row>
    <row r="31" spans="1:7" ht="27.5" customHeight="1">
      <c r="A31" s="3"/>
      <c r="B31" s="4"/>
      <c r="C31" s="4"/>
      <c r="D31" s="4"/>
      <c r="E31" s="4"/>
      <c r="F31" s="4"/>
      <c r="G31" s="5"/>
    </row>
    <row r="32" spans="1:7" ht="27.5" customHeight="1">
      <c r="A32" s="3"/>
      <c r="B32" s="4"/>
      <c r="C32" s="4"/>
      <c r="D32" s="4"/>
      <c r="E32" s="4"/>
      <c r="F32" s="4"/>
      <c r="G32" s="5"/>
    </row>
    <row r="33" spans="1:7" ht="27.5" customHeight="1">
      <c r="A33" s="3"/>
      <c r="B33" s="4"/>
      <c r="C33" s="4"/>
      <c r="D33" s="4"/>
      <c r="E33" s="4"/>
      <c r="F33" s="4"/>
      <c r="G33" s="5"/>
    </row>
    <row r="34" spans="1:7" ht="27.5" customHeight="1">
      <c r="A34" s="3"/>
      <c r="B34" s="4"/>
      <c r="C34" s="4"/>
      <c r="D34" s="4"/>
      <c r="E34" s="4"/>
      <c r="F34" s="4"/>
      <c r="G34" s="5"/>
    </row>
    <row r="35" spans="1:7" ht="27.5" customHeight="1">
      <c r="A35" s="3"/>
      <c r="B35" s="4"/>
      <c r="C35" s="4"/>
      <c r="D35" s="4"/>
      <c r="E35" s="4"/>
      <c r="F35" s="4"/>
      <c r="G35" s="5"/>
    </row>
    <row r="36" spans="1:7" ht="27.5" customHeight="1">
      <c r="A36" s="3"/>
      <c r="B36" s="4"/>
      <c r="C36" s="4"/>
      <c r="D36" s="4"/>
      <c r="E36" s="4"/>
      <c r="F36" s="4"/>
      <c r="G36" s="5"/>
    </row>
    <row r="37" spans="1:7" ht="27.5" customHeight="1">
      <c r="A37" s="3"/>
      <c r="B37" s="4"/>
      <c r="C37" s="4"/>
      <c r="D37" s="4"/>
      <c r="E37" s="4"/>
      <c r="F37" s="4"/>
      <c r="G37" s="5"/>
    </row>
    <row r="38" spans="1:7" ht="27.5" customHeight="1">
      <c r="A38" s="3"/>
      <c r="B38" s="4"/>
      <c r="C38" s="4"/>
      <c r="D38" s="4"/>
      <c r="E38" s="4"/>
      <c r="F38" s="4"/>
      <c r="G38" s="5"/>
    </row>
    <row r="39" spans="1:7" ht="27.5" customHeight="1">
      <c r="A39" s="3"/>
      <c r="B39" s="4"/>
      <c r="C39" s="4"/>
      <c r="D39" s="4"/>
      <c r="E39" s="4"/>
      <c r="F39" s="4"/>
      <c r="G39" s="5"/>
    </row>
    <row r="40" spans="1:7" ht="27.5" customHeight="1">
      <c r="A40" s="3"/>
      <c r="B40" s="4"/>
      <c r="C40" s="4"/>
      <c r="D40" s="4"/>
      <c r="E40" s="4"/>
      <c r="F40" s="4"/>
      <c r="G40" s="5"/>
    </row>
    <row r="41" spans="1:7" ht="27.5" customHeight="1">
      <c r="A41" s="3"/>
      <c r="B41" s="4"/>
      <c r="C41" s="4"/>
      <c r="D41" s="4"/>
      <c r="E41" s="4"/>
      <c r="F41" s="4"/>
      <c r="G41" s="5"/>
    </row>
    <row r="42" spans="1:7" ht="27.5" customHeight="1">
      <c r="A42" s="3"/>
      <c r="B42" s="4"/>
      <c r="C42" s="4"/>
      <c r="D42" s="4"/>
      <c r="E42" s="4"/>
      <c r="F42" s="4"/>
      <c r="G42" s="5"/>
    </row>
    <row r="43" spans="1:7" ht="27.5" customHeight="1">
      <c r="A43" s="3"/>
      <c r="B43" s="4"/>
      <c r="C43" s="4"/>
      <c r="D43" s="4"/>
      <c r="E43" s="4"/>
      <c r="F43" s="4"/>
      <c r="G43" s="5"/>
    </row>
    <row r="44" spans="1:7" ht="27.5" customHeight="1">
      <c r="A44" s="3"/>
      <c r="B44" s="4"/>
      <c r="C44" s="4"/>
      <c r="D44" s="4"/>
      <c r="E44" s="4"/>
      <c r="F44" s="4"/>
      <c r="G44" s="5"/>
    </row>
    <row r="45" spans="1:7" ht="27.5" customHeight="1">
      <c r="A45" s="3"/>
      <c r="B45" s="4"/>
      <c r="C45" s="4"/>
      <c r="D45" s="4"/>
      <c r="E45" s="4"/>
      <c r="F45" s="4"/>
      <c r="G45" s="5"/>
    </row>
    <row r="46" spans="1:7" ht="27.5" customHeight="1">
      <c r="A46" s="3"/>
      <c r="B46" s="4"/>
      <c r="C46" s="4"/>
      <c r="D46" s="4"/>
      <c r="E46" s="4"/>
      <c r="F46" s="4"/>
      <c r="G46" s="5"/>
    </row>
    <row r="47" spans="1:7" ht="27.5" customHeight="1">
      <c r="A47" s="3"/>
      <c r="B47" s="4"/>
      <c r="C47" s="4"/>
      <c r="D47" s="4"/>
      <c r="E47" s="4"/>
      <c r="F47" s="4"/>
      <c r="G47" s="5"/>
    </row>
    <row r="48" spans="1:7" ht="27.5" customHeight="1">
      <c r="A48" s="3"/>
      <c r="B48" s="4"/>
      <c r="C48" s="4"/>
      <c r="D48" s="4"/>
      <c r="E48" s="4"/>
      <c r="F48" s="4"/>
      <c r="G48" s="5"/>
    </row>
    <row r="49" spans="1:7" ht="27.5" customHeight="1">
      <c r="A49" s="3"/>
      <c r="B49" s="4"/>
      <c r="C49" s="4"/>
      <c r="D49" s="4"/>
      <c r="E49" s="4"/>
      <c r="F49" s="4"/>
      <c r="G49" s="5"/>
    </row>
    <row r="50" spans="1:7" ht="27.5" customHeight="1">
      <c r="A50" s="3"/>
      <c r="B50" s="4"/>
      <c r="C50" s="4"/>
      <c r="D50" s="4"/>
      <c r="E50" s="4"/>
      <c r="F50" s="4"/>
      <c r="G50" s="5"/>
    </row>
    <row r="51" spans="1:7" ht="27.5" customHeight="1">
      <c r="A51" s="3"/>
      <c r="B51" s="4"/>
      <c r="C51" s="4"/>
      <c r="D51" s="4"/>
      <c r="E51" s="4"/>
      <c r="F51" s="4"/>
      <c r="G51" s="5"/>
    </row>
    <row r="52" spans="1:7" ht="27.5" customHeight="1">
      <c r="A52" s="3"/>
      <c r="B52" s="4"/>
      <c r="C52" s="4"/>
      <c r="D52" s="4"/>
      <c r="E52" s="4"/>
      <c r="F52" s="4"/>
      <c r="G52" s="5"/>
    </row>
    <row r="53" spans="1:7" ht="27.5" customHeight="1">
      <c r="A53" s="3"/>
      <c r="B53" s="4"/>
      <c r="C53" s="4"/>
      <c r="D53" s="4"/>
      <c r="E53" s="4"/>
      <c r="F53" s="4"/>
      <c r="G53" s="5"/>
    </row>
    <row r="54" spans="1:7" ht="27.5" customHeight="1">
      <c r="A54" s="3"/>
      <c r="B54" s="4"/>
      <c r="C54" s="4"/>
      <c r="D54" s="4"/>
      <c r="E54" s="4"/>
      <c r="F54" s="4"/>
      <c r="G54" s="5"/>
    </row>
    <row r="55" spans="1:7" ht="27.5" customHeight="1">
      <c r="A55" s="3"/>
      <c r="B55" s="4"/>
      <c r="C55" s="4"/>
      <c r="D55" s="4"/>
      <c r="E55" s="4"/>
      <c r="F55" s="4"/>
      <c r="G55" s="5"/>
    </row>
    <row r="56" spans="1:7" ht="27.5" customHeight="1">
      <c r="A56" s="3"/>
      <c r="B56" s="4"/>
      <c r="C56" s="4"/>
      <c r="D56" s="4"/>
      <c r="E56" s="4"/>
      <c r="F56" s="4"/>
      <c r="G56" s="5"/>
    </row>
    <row r="57" spans="1:7" ht="27.5" customHeight="1">
      <c r="A57" s="3"/>
      <c r="B57" s="4"/>
      <c r="C57" s="4"/>
      <c r="D57" s="4"/>
      <c r="E57" s="4"/>
      <c r="F57" s="4"/>
      <c r="G57" s="5"/>
    </row>
    <row r="58" spans="1:7" ht="27.5" customHeight="1">
      <c r="A58" s="3"/>
      <c r="B58" s="4"/>
      <c r="C58" s="4"/>
      <c r="D58" s="4"/>
      <c r="E58" s="4"/>
      <c r="F58" s="4"/>
      <c r="G58" s="5"/>
    </row>
    <row r="59" spans="1:7" ht="27.5" customHeight="1">
      <c r="A59" s="3"/>
      <c r="B59" s="4"/>
      <c r="C59" s="4"/>
      <c r="D59" s="4"/>
      <c r="E59" s="4"/>
      <c r="F59" s="4"/>
      <c r="G59" s="5"/>
    </row>
    <row r="60" spans="1:7" ht="27.5" customHeight="1">
      <c r="A60" s="3"/>
      <c r="B60" s="4"/>
      <c r="C60" s="4"/>
      <c r="D60" s="4"/>
      <c r="E60" s="4"/>
      <c r="F60" s="4"/>
      <c r="G60" s="5"/>
    </row>
    <row r="61" spans="1:7" ht="27.5" customHeight="1">
      <c r="A61" s="3"/>
      <c r="B61" s="4"/>
      <c r="C61" s="4"/>
      <c r="D61" s="4"/>
      <c r="E61" s="4"/>
      <c r="F61" s="4"/>
      <c r="G61" s="5"/>
    </row>
    <row r="62" spans="1:7" ht="27.5" customHeight="1">
      <c r="A62" s="3"/>
      <c r="B62" s="4"/>
      <c r="C62" s="4"/>
      <c r="D62" s="4"/>
      <c r="E62" s="4"/>
      <c r="F62" s="4"/>
      <c r="G62" s="5"/>
    </row>
    <row r="63" spans="1:7" ht="27.5" customHeight="1">
      <c r="A63" s="3"/>
      <c r="B63" s="4"/>
      <c r="C63" s="4"/>
      <c r="D63" s="4"/>
      <c r="E63" s="4"/>
      <c r="F63" s="4"/>
      <c r="G63" s="5"/>
    </row>
    <row r="64" spans="1:7" ht="27.5" customHeight="1">
      <c r="A64" s="3"/>
      <c r="B64" s="4"/>
      <c r="C64" s="4"/>
      <c r="D64" s="4"/>
      <c r="E64" s="4"/>
      <c r="F64" s="4"/>
      <c r="G64" s="5"/>
    </row>
    <row r="65" spans="1:7" ht="27.5" customHeight="1">
      <c r="A65" s="3"/>
      <c r="B65" s="4"/>
      <c r="C65" s="4"/>
      <c r="D65" s="4"/>
      <c r="E65" s="4"/>
      <c r="F65" s="4"/>
      <c r="G65" s="5"/>
    </row>
    <row r="66" spans="1:7" ht="27.5" customHeight="1">
      <c r="A66" s="3"/>
      <c r="B66" s="4"/>
      <c r="C66" s="4"/>
      <c r="D66" s="4"/>
      <c r="E66" s="4"/>
      <c r="F66" s="4"/>
      <c r="G66" s="5"/>
    </row>
    <row r="67" spans="1:7" ht="27.5" customHeight="1">
      <c r="A67" s="3"/>
      <c r="B67" s="4"/>
      <c r="C67" s="4"/>
      <c r="D67" s="4"/>
      <c r="E67" s="4"/>
      <c r="F67" s="4"/>
      <c r="G67" s="5"/>
    </row>
    <row r="68" spans="1:7" ht="27.5" customHeight="1">
      <c r="A68" s="3"/>
      <c r="B68" s="4"/>
      <c r="C68" s="4"/>
      <c r="D68" s="4"/>
      <c r="E68" s="4"/>
      <c r="F68" s="4"/>
      <c r="G68" s="5"/>
    </row>
    <row r="69" spans="1:7" ht="27.5" customHeight="1">
      <c r="A69" s="3"/>
      <c r="B69" s="4"/>
      <c r="C69" s="4"/>
      <c r="D69" s="4"/>
      <c r="E69" s="4"/>
      <c r="F69" s="4"/>
      <c r="G69" s="5"/>
    </row>
    <row r="70" spans="1:7" ht="27.5" customHeight="1">
      <c r="A70" s="3"/>
      <c r="B70" s="4"/>
      <c r="C70" s="4"/>
      <c r="D70" s="4"/>
      <c r="E70" s="4"/>
      <c r="F70" s="4"/>
      <c r="G70" s="5"/>
    </row>
    <row r="71" spans="1:7" ht="27.5" customHeight="1">
      <c r="A71" s="3"/>
      <c r="B71" s="4"/>
      <c r="C71" s="4"/>
      <c r="D71" s="4"/>
      <c r="E71" s="4"/>
      <c r="F71" s="4"/>
      <c r="G71" s="5"/>
    </row>
    <row r="72" spans="1:7" ht="27.5" customHeight="1">
      <c r="A72" s="3"/>
      <c r="B72" s="4"/>
      <c r="C72" s="4"/>
      <c r="D72" s="4"/>
      <c r="E72" s="4"/>
      <c r="F72" s="4"/>
      <c r="G72" s="5"/>
    </row>
    <row r="73" spans="1:7" ht="27.5" customHeight="1">
      <c r="A73" s="3"/>
      <c r="B73" s="4"/>
      <c r="C73" s="4"/>
      <c r="D73" s="4"/>
      <c r="E73" s="4"/>
      <c r="F73" s="4"/>
      <c r="G73" s="5"/>
    </row>
    <row r="74" spans="1:7" ht="27.5" customHeight="1">
      <c r="A74" s="3"/>
      <c r="B74" s="4"/>
      <c r="C74" s="4"/>
      <c r="D74" s="4"/>
      <c r="E74" s="4"/>
      <c r="F74" s="4"/>
      <c r="G74" s="5"/>
    </row>
    <row r="75" spans="1:7" ht="27.5" customHeight="1">
      <c r="A75" s="3"/>
      <c r="B75" s="4"/>
      <c r="C75" s="4"/>
      <c r="D75" s="4"/>
      <c r="E75" s="4"/>
      <c r="F75" s="4"/>
      <c r="G75" s="5"/>
    </row>
    <row r="76" spans="1:7" ht="27.5" customHeight="1">
      <c r="A76" s="3"/>
      <c r="B76" s="4"/>
      <c r="C76" s="4"/>
      <c r="D76" s="4"/>
      <c r="E76" s="4"/>
      <c r="F76" s="4"/>
      <c r="G76" s="5"/>
    </row>
    <row r="77" spans="1:7" ht="27.5" customHeight="1">
      <c r="A77" s="3"/>
      <c r="B77" s="4"/>
      <c r="C77" s="4"/>
      <c r="D77" s="4"/>
      <c r="E77" s="4"/>
      <c r="F77" s="4"/>
      <c r="G77" s="5"/>
    </row>
    <row r="78" spans="1:7" ht="27.5" customHeight="1">
      <c r="A78" s="3"/>
      <c r="B78" s="4"/>
      <c r="C78" s="4"/>
      <c r="D78" s="4"/>
      <c r="E78" s="4"/>
      <c r="F78" s="4"/>
      <c r="G78" s="5"/>
    </row>
    <row r="79" spans="1:7" ht="27.5" customHeight="1">
      <c r="A79" s="3"/>
      <c r="B79" s="4"/>
      <c r="C79" s="4"/>
      <c r="D79" s="4"/>
      <c r="E79" s="4"/>
      <c r="F79" s="4"/>
      <c r="G79" s="5"/>
    </row>
    <row r="80" spans="1:7" ht="27.5" customHeight="1">
      <c r="A80" s="3"/>
      <c r="B80" s="4"/>
      <c r="C80" s="4"/>
      <c r="D80" s="4"/>
      <c r="E80" s="4"/>
      <c r="F80" s="4"/>
      <c r="G80" s="5"/>
    </row>
    <row r="81" spans="1:7" ht="27.5" customHeight="1">
      <c r="A81" s="3"/>
      <c r="B81" s="4"/>
      <c r="C81" s="4"/>
      <c r="D81" s="4"/>
      <c r="E81" s="4"/>
      <c r="F81" s="4"/>
      <c r="G81" s="5"/>
    </row>
    <row r="82" spans="1:7" ht="27.5" customHeight="1">
      <c r="A82" s="3"/>
      <c r="B82" s="4"/>
      <c r="C82" s="4"/>
      <c r="D82" s="4"/>
      <c r="E82" s="4"/>
      <c r="F82" s="4"/>
      <c r="G82" s="5"/>
    </row>
    <row r="83" spans="1:7" ht="27.5" customHeight="1">
      <c r="A83" s="3"/>
      <c r="B83" s="4"/>
      <c r="C83" s="4"/>
      <c r="D83" s="4"/>
      <c r="E83" s="4"/>
      <c r="F83" s="4"/>
      <c r="G83" s="5"/>
    </row>
    <row r="84" spans="1:7" ht="27.5" customHeight="1">
      <c r="A84" s="3"/>
      <c r="B84" s="4"/>
      <c r="C84" s="4"/>
      <c r="D84" s="4"/>
      <c r="E84" s="4"/>
      <c r="F84" s="4"/>
      <c r="G84" s="5"/>
    </row>
    <row r="85" spans="1:7" ht="27.5" customHeight="1">
      <c r="A85" s="3"/>
      <c r="B85" s="4"/>
      <c r="C85" s="4"/>
      <c r="D85" s="4"/>
      <c r="E85" s="4"/>
      <c r="F85" s="4"/>
      <c r="G85" s="5"/>
    </row>
    <row r="86" spans="1:7" ht="27.5" customHeight="1">
      <c r="A86" s="3"/>
      <c r="B86" s="4"/>
      <c r="C86" s="4"/>
      <c r="D86" s="4"/>
      <c r="E86" s="4"/>
      <c r="F86" s="4"/>
      <c r="G86" s="5"/>
    </row>
    <row r="87" spans="1:7" ht="27.5" customHeight="1">
      <c r="A87" s="3"/>
      <c r="B87" s="4"/>
      <c r="C87" s="4"/>
      <c r="D87" s="4"/>
      <c r="E87" s="4"/>
      <c r="F87" s="4"/>
      <c r="G87" s="5"/>
    </row>
    <row r="88" spans="1:7" ht="27.5" customHeight="1">
      <c r="A88" s="3"/>
      <c r="B88" s="4"/>
      <c r="C88" s="4"/>
      <c r="D88" s="4"/>
      <c r="E88" s="4"/>
      <c r="F88" s="4"/>
      <c r="G88" s="5"/>
    </row>
    <row r="89" spans="1:7" ht="27.5" customHeight="1">
      <c r="A89" s="3"/>
      <c r="B89" s="4"/>
      <c r="C89" s="4"/>
      <c r="D89" s="4"/>
      <c r="E89" s="4"/>
      <c r="F89" s="4"/>
      <c r="G89" s="5"/>
    </row>
    <row r="90" spans="1:7" ht="27.5" customHeight="1">
      <c r="A90" s="3"/>
      <c r="B90" s="4"/>
      <c r="C90" s="4"/>
      <c r="D90" s="4"/>
      <c r="E90" s="4"/>
      <c r="F90" s="4"/>
      <c r="G90" s="5"/>
    </row>
    <row r="91" spans="1:7" ht="27.5" customHeight="1">
      <c r="A91" s="3"/>
      <c r="B91" s="4"/>
      <c r="C91" s="4"/>
      <c r="D91" s="4"/>
      <c r="E91" s="4"/>
      <c r="F91" s="4"/>
      <c r="G91" s="5"/>
    </row>
    <row r="92" spans="1:7" ht="27.5" customHeight="1">
      <c r="A92" s="3"/>
      <c r="B92" s="4"/>
      <c r="C92" s="4"/>
      <c r="D92" s="4"/>
      <c r="E92" s="4"/>
      <c r="F92" s="4"/>
      <c r="G92" s="5"/>
    </row>
    <row r="93" spans="1:7" ht="27.5" customHeight="1">
      <c r="A93" s="3"/>
      <c r="B93" s="4"/>
      <c r="C93" s="4"/>
      <c r="D93" s="4"/>
      <c r="E93" s="4"/>
      <c r="F93" s="4"/>
      <c r="G93" s="5"/>
    </row>
    <row r="94" spans="1:7" ht="27.5" customHeight="1">
      <c r="A94" s="3"/>
      <c r="B94" s="4"/>
      <c r="C94" s="4"/>
      <c r="D94" s="4"/>
      <c r="E94" s="4"/>
      <c r="F94" s="4"/>
      <c r="G94" s="5"/>
    </row>
    <row r="95" spans="1:7" ht="27.5" customHeight="1">
      <c r="A95" s="3"/>
      <c r="B95" s="4"/>
      <c r="C95" s="4"/>
      <c r="D95" s="4"/>
      <c r="E95" s="4"/>
      <c r="F95" s="4"/>
      <c r="G95" s="5"/>
    </row>
    <row r="96" spans="1:7" ht="27.5" customHeight="1">
      <c r="A96" s="3"/>
      <c r="B96" s="4"/>
      <c r="C96" s="4"/>
      <c r="D96" s="4"/>
      <c r="E96" s="4"/>
      <c r="F96" s="4"/>
      <c r="G96" s="5"/>
    </row>
    <row r="97" spans="1:7" ht="27.5" customHeight="1">
      <c r="A97" s="3"/>
      <c r="B97" s="4"/>
      <c r="C97" s="4"/>
      <c r="D97" s="4"/>
      <c r="E97" s="4"/>
      <c r="F97" s="4"/>
      <c r="G97" s="5"/>
    </row>
    <row r="98" spans="1:7" ht="27.5" customHeight="1">
      <c r="A98" s="3"/>
      <c r="B98" s="4"/>
      <c r="C98" s="4"/>
      <c r="D98" s="4"/>
      <c r="E98" s="4"/>
      <c r="F98" s="4"/>
      <c r="G98" s="5"/>
    </row>
    <row r="99" spans="1:7" ht="27.5" customHeight="1">
      <c r="A99" s="3"/>
      <c r="B99" s="4"/>
      <c r="C99" s="4"/>
      <c r="D99" s="4"/>
      <c r="E99" s="4"/>
      <c r="F99" s="4"/>
      <c r="G99" s="5"/>
    </row>
    <row r="100" spans="1:7" ht="27.5" customHeight="1">
      <c r="A100" s="3"/>
      <c r="B100" s="4"/>
      <c r="C100" s="4"/>
      <c r="D100" s="4"/>
      <c r="E100" s="4"/>
      <c r="F100" s="4"/>
      <c r="G100" s="5"/>
    </row>
    <row r="101" spans="1:7" ht="27.5" customHeight="1">
      <c r="A101" s="3"/>
      <c r="B101" s="4"/>
      <c r="C101" s="4"/>
      <c r="D101" s="4"/>
      <c r="E101" s="4"/>
      <c r="F101" s="4"/>
      <c r="G101" s="5"/>
    </row>
    <row r="102" spans="1:7" ht="27.5" customHeight="1">
      <c r="A102" s="3"/>
      <c r="B102" s="4"/>
      <c r="C102" s="4"/>
      <c r="D102" s="4"/>
      <c r="E102" s="4"/>
      <c r="F102" s="4"/>
      <c r="G102" s="5"/>
    </row>
    <row r="103" spans="1:7" ht="27.5" customHeight="1">
      <c r="A103" s="3"/>
      <c r="B103" s="4"/>
      <c r="C103" s="4"/>
      <c r="D103" s="4"/>
      <c r="E103" s="4"/>
      <c r="F103" s="4"/>
      <c r="G103" s="5"/>
    </row>
    <row r="104" spans="1:7" ht="27.5" customHeight="1">
      <c r="A104" s="3"/>
      <c r="B104" s="4"/>
      <c r="C104" s="4"/>
      <c r="D104" s="4"/>
      <c r="E104" s="4"/>
      <c r="F104" s="4"/>
      <c r="G104" s="5"/>
    </row>
    <row r="105" spans="1:7" ht="27.5" customHeight="1">
      <c r="A105" s="3"/>
      <c r="B105" s="4"/>
      <c r="C105" s="4"/>
      <c r="D105" s="4"/>
      <c r="E105" s="4"/>
      <c r="F105" s="4"/>
      <c r="G105" s="5"/>
    </row>
    <row r="106" spans="1:7" ht="27.5" customHeight="1">
      <c r="A106" s="3"/>
      <c r="B106" s="4"/>
      <c r="C106" s="4"/>
      <c r="D106" s="4"/>
      <c r="E106" s="4"/>
      <c r="F106" s="4"/>
      <c r="G106" s="5"/>
    </row>
    <row r="107" spans="1:7" ht="27.5" customHeight="1">
      <c r="A107" s="3"/>
      <c r="B107" s="4"/>
      <c r="C107" s="4"/>
      <c r="D107" s="4"/>
      <c r="E107" s="4"/>
      <c r="F107" s="4"/>
      <c r="G107" s="5"/>
    </row>
    <row r="108" spans="1:7" ht="27.5" customHeight="1">
      <c r="A108" s="3"/>
      <c r="B108" s="4"/>
      <c r="C108" s="4"/>
      <c r="D108" s="4"/>
      <c r="E108" s="4"/>
      <c r="F108" s="4"/>
      <c r="G108" s="5"/>
    </row>
    <row r="109" spans="1:7" ht="27.5" customHeight="1">
      <c r="A109" s="3"/>
      <c r="B109" s="4"/>
      <c r="C109" s="4"/>
      <c r="D109" s="4"/>
      <c r="E109" s="4"/>
      <c r="F109" s="4"/>
      <c r="G109" s="5"/>
    </row>
    <row r="110" spans="1:7" ht="27.5" customHeight="1">
      <c r="A110" s="3"/>
      <c r="B110" s="4"/>
      <c r="C110" s="4"/>
      <c r="D110" s="4"/>
      <c r="E110" s="4"/>
      <c r="F110" s="4"/>
      <c r="G110" s="5"/>
    </row>
    <row r="111" spans="1:7" ht="27.5" customHeight="1">
      <c r="A111" s="3"/>
      <c r="B111" s="4"/>
      <c r="C111" s="4"/>
      <c r="D111" s="4"/>
      <c r="E111" s="4"/>
      <c r="F111" s="4"/>
      <c r="G111" s="5"/>
    </row>
    <row r="112" spans="1:7" ht="27.5" customHeight="1">
      <c r="A112" s="3"/>
      <c r="B112" s="4"/>
      <c r="C112" s="4"/>
      <c r="D112" s="4"/>
      <c r="E112" s="4"/>
      <c r="F112" s="4"/>
      <c r="G112" s="5"/>
    </row>
    <row r="113" spans="1:7" ht="27.5" customHeight="1">
      <c r="A113" s="3"/>
      <c r="B113" s="4"/>
      <c r="C113" s="4"/>
      <c r="D113" s="4"/>
      <c r="E113" s="4"/>
      <c r="F113" s="4"/>
      <c r="G113" s="5"/>
    </row>
    <row r="114" spans="1:7" ht="27.5" customHeight="1">
      <c r="A114" s="3"/>
      <c r="B114" s="4"/>
      <c r="C114" s="4"/>
      <c r="D114" s="4"/>
      <c r="E114" s="4"/>
      <c r="F114" s="4"/>
      <c r="G114" s="5"/>
    </row>
    <row r="115" spans="1:7" ht="27.5" customHeight="1">
      <c r="A115" s="3"/>
      <c r="B115" s="4"/>
      <c r="C115" s="4"/>
      <c r="D115" s="4"/>
      <c r="E115" s="4"/>
      <c r="F115" s="4"/>
      <c r="G115" s="5"/>
    </row>
    <row r="116" spans="1:7" ht="27.5" customHeight="1">
      <c r="A116" s="3"/>
      <c r="B116" s="4"/>
      <c r="C116" s="4"/>
      <c r="D116" s="4"/>
      <c r="E116" s="4"/>
      <c r="F116" s="4"/>
      <c r="G116" s="5"/>
    </row>
    <row r="117" spans="1:7" ht="27.5" customHeight="1">
      <c r="A117" s="3"/>
      <c r="B117" s="4"/>
      <c r="C117" s="4"/>
      <c r="D117" s="4"/>
      <c r="E117" s="4"/>
      <c r="F117" s="4"/>
      <c r="G117" s="5"/>
    </row>
    <row r="118" spans="1:7" ht="27.5" customHeight="1">
      <c r="A118" s="3"/>
      <c r="B118" s="4"/>
      <c r="C118" s="4"/>
      <c r="D118" s="4"/>
      <c r="E118" s="4"/>
      <c r="F118" s="4"/>
      <c r="G118" s="5"/>
    </row>
    <row r="119" spans="1:7" ht="27.5" customHeight="1">
      <c r="A119" s="3"/>
      <c r="B119" s="4"/>
      <c r="C119" s="4"/>
      <c r="D119" s="4"/>
      <c r="E119" s="4"/>
      <c r="F119" s="4"/>
      <c r="G119" s="5"/>
    </row>
    <row r="120" spans="1:7" ht="27.5" customHeight="1">
      <c r="A120" s="3"/>
      <c r="B120" s="4"/>
      <c r="C120" s="4"/>
      <c r="D120" s="4"/>
      <c r="E120" s="4"/>
      <c r="F120" s="4"/>
      <c r="G120" s="5"/>
    </row>
    <row r="121" spans="1:7" ht="27.5" customHeight="1">
      <c r="A121" s="3"/>
      <c r="B121" s="4"/>
      <c r="C121" s="4"/>
      <c r="D121" s="4"/>
      <c r="E121" s="4"/>
      <c r="F121" s="4"/>
      <c r="G121" s="5"/>
    </row>
    <row r="122" spans="1:7" ht="27.5" customHeight="1">
      <c r="A122" s="3"/>
      <c r="B122" s="4"/>
      <c r="C122" s="4"/>
      <c r="D122" s="4"/>
      <c r="E122" s="4"/>
      <c r="F122" s="4"/>
      <c r="G122" s="5"/>
    </row>
    <row r="123" spans="1:7" ht="27.5" customHeight="1">
      <c r="A123" s="3"/>
      <c r="B123" s="4"/>
      <c r="C123" s="4"/>
      <c r="D123" s="4"/>
      <c r="E123" s="4"/>
      <c r="F123" s="4"/>
      <c r="G123" s="5"/>
    </row>
    <row r="124" spans="1:7" ht="27.5" customHeight="1">
      <c r="A124" s="3"/>
      <c r="B124" s="4"/>
      <c r="C124" s="4"/>
      <c r="D124" s="4"/>
      <c r="E124" s="4"/>
      <c r="F124" s="4"/>
      <c r="G124" s="5"/>
    </row>
    <row r="125" spans="1:7" ht="27.5" customHeight="1">
      <c r="A125" s="3"/>
      <c r="B125" s="4"/>
      <c r="C125" s="4"/>
      <c r="D125" s="4"/>
      <c r="E125" s="4"/>
      <c r="F125" s="4"/>
      <c r="G125" s="5"/>
    </row>
    <row r="126" spans="1:7" ht="27.5" customHeight="1">
      <c r="A126" s="3"/>
      <c r="B126" s="4"/>
      <c r="C126" s="4"/>
      <c r="D126" s="4"/>
      <c r="E126" s="4"/>
      <c r="F126" s="4"/>
      <c r="G126" s="5"/>
    </row>
    <row r="127" spans="1:7" ht="27.5" customHeight="1">
      <c r="A127" s="3"/>
      <c r="B127" s="4"/>
      <c r="C127" s="4"/>
      <c r="D127" s="4"/>
      <c r="E127" s="4"/>
      <c r="F127" s="4"/>
      <c r="G127" s="5"/>
    </row>
    <row r="128" spans="1:7" ht="27.5" customHeight="1">
      <c r="A128" s="3"/>
      <c r="B128" s="4"/>
      <c r="C128" s="4"/>
      <c r="D128" s="4"/>
      <c r="E128" s="4"/>
      <c r="F128" s="4"/>
      <c r="G128" s="5"/>
    </row>
    <row r="129" spans="1:7" ht="27.5" customHeight="1">
      <c r="A129" s="3"/>
      <c r="B129" s="4"/>
      <c r="C129" s="4"/>
      <c r="D129" s="4"/>
      <c r="E129" s="4"/>
      <c r="F129" s="4"/>
      <c r="G129" s="5"/>
    </row>
    <row r="130" spans="1:7" ht="27.5" customHeight="1">
      <c r="A130" s="3"/>
      <c r="B130" s="4"/>
      <c r="C130" s="4"/>
      <c r="D130" s="4"/>
      <c r="E130" s="4"/>
      <c r="F130" s="4"/>
      <c r="G130" s="5"/>
    </row>
    <row r="131" spans="1:7" ht="27.5" customHeight="1">
      <c r="A131" s="3"/>
      <c r="B131" s="4"/>
      <c r="C131" s="4"/>
      <c r="D131" s="4"/>
      <c r="E131" s="4"/>
      <c r="F131" s="4"/>
      <c r="G131" s="5"/>
    </row>
    <row r="132" spans="1:7" ht="27.5" customHeight="1">
      <c r="A132" s="3"/>
      <c r="B132" s="4"/>
      <c r="C132" s="4"/>
      <c r="D132" s="4"/>
      <c r="E132" s="4"/>
      <c r="F132" s="4"/>
      <c r="G132" s="5"/>
    </row>
    <row r="133" spans="1:7" ht="27.5" customHeight="1">
      <c r="A133" s="3"/>
      <c r="B133" s="4"/>
      <c r="C133" s="4"/>
      <c r="D133" s="4"/>
      <c r="E133" s="4"/>
      <c r="F133" s="4"/>
      <c r="G133" s="5"/>
    </row>
    <row r="134" spans="1:7" ht="27.5" customHeight="1">
      <c r="A134" s="3"/>
      <c r="B134" s="4"/>
      <c r="C134" s="4"/>
      <c r="D134" s="4"/>
      <c r="E134" s="4"/>
      <c r="F134" s="4"/>
      <c r="G134" s="5"/>
    </row>
    <row r="135" spans="1:7" ht="27.5" customHeight="1">
      <c r="A135" s="3"/>
      <c r="B135" s="4"/>
      <c r="C135" s="4"/>
      <c r="D135" s="4"/>
      <c r="E135" s="4"/>
      <c r="F135" s="4"/>
      <c r="G135" s="5"/>
    </row>
    <row r="136" spans="1:7" ht="27.5" customHeight="1">
      <c r="A136" s="3"/>
      <c r="B136" s="4"/>
      <c r="C136" s="4"/>
      <c r="D136" s="4"/>
      <c r="E136" s="4"/>
      <c r="F136" s="4"/>
      <c r="G136" s="5"/>
    </row>
    <row r="137" spans="1:7" ht="27.5" customHeight="1">
      <c r="A137" s="3"/>
      <c r="B137" s="4"/>
      <c r="C137" s="4"/>
      <c r="D137" s="4"/>
      <c r="E137" s="4"/>
      <c r="F137" s="4"/>
      <c r="G137" s="5"/>
    </row>
    <row r="138" spans="1:7" ht="27.5" customHeight="1">
      <c r="A138" s="3"/>
      <c r="B138" s="4"/>
      <c r="C138" s="4"/>
      <c r="D138" s="4"/>
      <c r="E138" s="4"/>
      <c r="F138" s="4"/>
      <c r="G138" s="5"/>
    </row>
    <row r="139" spans="1:7" ht="27.5" customHeight="1">
      <c r="A139" s="3"/>
      <c r="B139" s="4"/>
      <c r="C139" s="4"/>
      <c r="D139" s="4"/>
      <c r="E139" s="4"/>
      <c r="F139" s="4"/>
      <c r="G139" s="5"/>
    </row>
    <row r="140" spans="1:7" ht="27.5" customHeight="1">
      <c r="A140" s="3"/>
      <c r="B140" s="4"/>
      <c r="C140" s="4"/>
      <c r="D140" s="4"/>
      <c r="E140" s="4"/>
      <c r="F140" s="4"/>
      <c r="G140" s="5"/>
    </row>
    <row r="141" spans="1:7" ht="27.5" customHeight="1">
      <c r="A141" s="3"/>
      <c r="B141" s="4"/>
      <c r="C141" s="4"/>
      <c r="D141" s="4"/>
      <c r="E141" s="4"/>
      <c r="F141" s="4"/>
      <c r="G141" s="5"/>
    </row>
    <row r="142" spans="1:7" ht="27.5" customHeight="1">
      <c r="A142" s="3"/>
      <c r="B142" s="4"/>
      <c r="C142" s="4"/>
      <c r="D142" s="4"/>
      <c r="E142" s="4"/>
      <c r="F142" s="4"/>
      <c r="G142" s="5"/>
    </row>
    <row r="143" spans="1:7" ht="27.5" customHeight="1">
      <c r="A143" s="3"/>
      <c r="B143" s="4"/>
      <c r="C143" s="4"/>
      <c r="D143" s="4"/>
      <c r="E143" s="4"/>
      <c r="F143" s="4"/>
      <c r="G143" s="5"/>
    </row>
    <row r="144" spans="1:7" ht="27.5" customHeight="1">
      <c r="A144" s="3"/>
      <c r="B144" s="4"/>
      <c r="C144" s="4"/>
      <c r="D144" s="4"/>
      <c r="E144" s="4"/>
      <c r="F144" s="4"/>
      <c r="G144" s="5"/>
    </row>
    <row r="145" spans="1:7" ht="27.5" customHeight="1">
      <c r="A145" s="3"/>
      <c r="B145" s="4"/>
      <c r="C145" s="4"/>
      <c r="D145" s="4"/>
      <c r="E145" s="4"/>
      <c r="F145" s="4"/>
      <c r="G145" s="5"/>
    </row>
    <row r="146" spans="1:7" ht="27.5" customHeight="1">
      <c r="A146" s="3"/>
      <c r="B146" s="4"/>
      <c r="C146" s="4"/>
      <c r="D146" s="4"/>
      <c r="E146" s="4"/>
      <c r="F146" s="4"/>
      <c r="G146" s="5"/>
    </row>
    <row r="147" spans="1:7" ht="27.5" customHeight="1">
      <c r="A147" s="3"/>
      <c r="B147" s="4"/>
      <c r="C147" s="4"/>
      <c r="D147" s="4"/>
      <c r="E147" s="4"/>
      <c r="F147" s="4"/>
      <c r="G147" s="5"/>
    </row>
    <row r="148" spans="1:7" ht="27.5" customHeight="1">
      <c r="A148" s="3"/>
      <c r="B148" s="4"/>
      <c r="C148" s="4"/>
      <c r="D148" s="4"/>
      <c r="E148" s="4"/>
      <c r="F148" s="4"/>
      <c r="G148" s="5"/>
    </row>
    <row r="149" spans="1:7" ht="27.5" customHeight="1">
      <c r="A149" s="3"/>
      <c r="B149" s="4"/>
      <c r="C149" s="4"/>
      <c r="D149" s="4"/>
      <c r="E149" s="4"/>
      <c r="F149" s="4"/>
      <c r="G149" s="5"/>
    </row>
    <row r="150" spans="1:7" ht="27.5" customHeight="1">
      <c r="A150" s="3"/>
      <c r="B150" s="4"/>
      <c r="C150" s="4"/>
      <c r="D150" s="4"/>
      <c r="E150" s="4"/>
      <c r="F150" s="4"/>
      <c r="G150" s="5"/>
    </row>
    <row r="151" spans="1:7" ht="27.5" customHeight="1">
      <c r="A151" s="3"/>
      <c r="B151" s="4"/>
      <c r="C151" s="4"/>
      <c r="D151" s="4"/>
      <c r="E151" s="4"/>
      <c r="F151" s="4"/>
      <c r="G151" s="5"/>
    </row>
    <row r="152" spans="1:7" ht="27.5" customHeight="1">
      <c r="A152" s="3"/>
      <c r="B152" s="4"/>
      <c r="C152" s="4"/>
      <c r="D152" s="4"/>
      <c r="E152" s="4"/>
      <c r="F152" s="4"/>
      <c r="G152" s="5"/>
    </row>
    <row r="153" spans="1:7" ht="27.5" customHeight="1">
      <c r="A153" s="3"/>
      <c r="B153" s="4"/>
      <c r="C153" s="4"/>
      <c r="D153" s="4"/>
      <c r="E153" s="4"/>
      <c r="F153" s="4"/>
      <c r="G153" s="5"/>
    </row>
    <row r="154" spans="1:7" ht="27.5" customHeight="1">
      <c r="A154" s="3"/>
      <c r="B154" s="4"/>
      <c r="C154" s="4"/>
      <c r="D154" s="4"/>
      <c r="E154" s="4"/>
      <c r="F154" s="4"/>
      <c r="G154" s="5"/>
    </row>
    <row r="155" spans="1:7" ht="27.5" customHeight="1">
      <c r="A155" s="3"/>
      <c r="B155" s="4"/>
      <c r="C155" s="4"/>
      <c r="D155" s="4"/>
      <c r="E155" s="4"/>
      <c r="F155" s="4"/>
      <c r="G155" s="5"/>
    </row>
    <row r="156" spans="1:7" ht="27.5" customHeight="1">
      <c r="A156" s="3"/>
      <c r="B156" s="4"/>
      <c r="C156" s="4"/>
      <c r="D156" s="4"/>
      <c r="E156" s="4"/>
      <c r="F156" s="4"/>
      <c r="G156" s="5"/>
    </row>
    <row r="157" spans="1:7" ht="27.5" customHeight="1">
      <c r="A157" s="3"/>
      <c r="B157" s="4"/>
      <c r="C157" s="4"/>
      <c r="D157" s="4"/>
      <c r="E157" s="4"/>
      <c r="F157" s="4"/>
      <c r="G157" s="5"/>
    </row>
    <row r="158" spans="1:7" ht="27.5" customHeight="1">
      <c r="A158" s="3"/>
      <c r="B158" s="4"/>
      <c r="C158" s="4"/>
      <c r="D158" s="4"/>
      <c r="E158" s="4"/>
      <c r="F158" s="4"/>
      <c r="G158" s="5"/>
    </row>
    <row r="159" spans="1:7" ht="27.5" customHeight="1">
      <c r="A159" s="3"/>
      <c r="B159" s="4"/>
      <c r="C159" s="4"/>
      <c r="D159" s="4"/>
      <c r="E159" s="4"/>
      <c r="F159" s="4"/>
      <c r="G159" s="5"/>
    </row>
    <row r="160" spans="1:7" ht="27.5" customHeight="1">
      <c r="A160" s="3"/>
      <c r="B160" s="4"/>
      <c r="C160" s="4"/>
      <c r="D160" s="4"/>
      <c r="E160" s="4"/>
      <c r="F160" s="4"/>
      <c r="G160" s="5"/>
    </row>
    <row r="161" spans="1:7" ht="27.5" customHeight="1">
      <c r="A161" s="3"/>
      <c r="B161" s="4"/>
      <c r="C161" s="4"/>
      <c r="D161" s="4"/>
      <c r="E161" s="4"/>
      <c r="F161" s="4"/>
      <c r="G161" s="5"/>
    </row>
    <row r="162" spans="1:7" ht="27.5" customHeight="1">
      <c r="A162" s="3"/>
      <c r="B162" s="4"/>
      <c r="C162" s="4"/>
      <c r="D162" s="4"/>
      <c r="E162" s="4"/>
      <c r="F162" s="4"/>
      <c r="G162" s="5"/>
    </row>
    <row r="163" spans="1:7" ht="27.5" customHeight="1">
      <c r="A163" s="3"/>
      <c r="B163" s="4"/>
      <c r="C163" s="4"/>
      <c r="D163" s="4"/>
      <c r="E163" s="4"/>
      <c r="F163" s="4"/>
      <c r="G163" s="5"/>
    </row>
    <row r="164" spans="1:7" ht="27.5" customHeight="1">
      <c r="A164" s="3"/>
      <c r="B164" s="4"/>
      <c r="C164" s="4"/>
      <c r="D164" s="4"/>
      <c r="E164" s="4"/>
      <c r="F164" s="4"/>
      <c r="G164" s="5"/>
    </row>
    <row r="165" spans="1:7" ht="27.5" customHeight="1">
      <c r="A165" s="3"/>
      <c r="B165" s="4"/>
      <c r="C165" s="4"/>
      <c r="D165" s="4"/>
      <c r="E165" s="4"/>
      <c r="F165" s="4"/>
      <c r="G165" s="5"/>
    </row>
    <row r="166" spans="1:7" ht="27.5" customHeight="1">
      <c r="A166" s="3"/>
      <c r="B166" s="4"/>
      <c r="C166" s="4"/>
      <c r="D166" s="4"/>
      <c r="E166" s="4"/>
      <c r="F166" s="4"/>
      <c r="G166" s="5"/>
    </row>
    <row r="167" spans="1:7" ht="27.5" customHeight="1">
      <c r="A167" s="3"/>
      <c r="B167" s="4"/>
      <c r="C167" s="4"/>
      <c r="D167" s="4"/>
      <c r="E167" s="4"/>
      <c r="F167" s="4"/>
      <c r="G167" s="5"/>
    </row>
    <row r="168" spans="1:7" ht="27.5" customHeight="1">
      <c r="A168" s="3"/>
      <c r="B168" s="4"/>
      <c r="C168" s="4"/>
      <c r="D168" s="4"/>
      <c r="E168" s="4"/>
      <c r="F168" s="4"/>
      <c r="G168" s="5"/>
    </row>
    <row r="169" spans="1:7" ht="27.5" customHeight="1">
      <c r="A169" s="3"/>
      <c r="B169" s="4"/>
      <c r="C169" s="4"/>
      <c r="D169" s="4"/>
      <c r="E169" s="4"/>
      <c r="F169" s="4"/>
      <c r="G169" s="5"/>
    </row>
    <row r="170" spans="1:7" ht="27.5" customHeight="1">
      <c r="A170" s="3"/>
      <c r="B170" s="4"/>
      <c r="C170" s="4"/>
      <c r="D170" s="4"/>
      <c r="E170" s="4"/>
      <c r="F170" s="4"/>
      <c r="G170" s="5"/>
    </row>
    <row r="171" spans="1:7" ht="27.5" customHeight="1">
      <c r="A171" s="3"/>
      <c r="B171" s="4"/>
      <c r="C171" s="4"/>
      <c r="D171" s="4"/>
      <c r="E171" s="4"/>
      <c r="F171" s="4"/>
      <c r="G171" s="5"/>
    </row>
    <row r="172" spans="1:7" ht="27.5" customHeight="1">
      <c r="A172" s="3"/>
      <c r="B172" s="4"/>
      <c r="C172" s="4"/>
      <c r="D172" s="4"/>
      <c r="E172" s="4"/>
      <c r="F172" s="4"/>
      <c r="G172" s="5"/>
    </row>
    <row r="173" spans="1:7" ht="27.5" customHeight="1">
      <c r="A173" s="3"/>
      <c r="B173" s="4"/>
      <c r="C173" s="4"/>
      <c r="D173" s="4"/>
      <c r="E173" s="4"/>
      <c r="F173" s="4"/>
      <c r="G173" s="5"/>
    </row>
    <row r="174" spans="1:7" ht="27.5" customHeight="1">
      <c r="A174" s="3"/>
      <c r="B174" s="4"/>
      <c r="C174" s="4"/>
      <c r="D174" s="4"/>
      <c r="E174" s="4"/>
      <c r="F174" s="4"/>
      <c r="G174" s="5"/>
    </row>
    <row r="175" spans="1:7" ht="27.5" customHeight="1">
      <c r="A175" s="3"/>
      <c r="B175" s="4"/>
      <c r="C175" s="4"/>
      <c r="D175" s="4"/>
      <c r="E175" s="4"/>
      <c r="F175" s="4"/>
      <c r="G175" s="5"/>
    </row>
    <row r="176" spans="1:7" ht="27.5" customHeight="1">
      <c r="A176" s="3"/>
      <c r="B176" s="4"/>
      <c r="C176" s="4"/>
      <c r="D176" s="4"/>
      <c r="E176" s="4"/>
      <c r="F176" s="4"/>
      <c r="G176" s="5"/>
    </row>
    <row r="177" spans="1:7" ht="27.5" customHeight="1">
      <c r="A177" s="3"/>
      <c r="B177" s="4"/>
      <c r="C177" s="4"/>
      <c r="D177" s="4"/>
      <c r="E177" s="4"/>
      <c r="F177" s="4"/>
      <c r="G177" s="5"/>
    </row>
    <row r="178" spans="1:7" ht="27.5" customHeight="1">
      <c r="A178" s="3"/>
      <c r="B178" s="4"/>
      <c r="C178" s="4"/>
      <c r="D178" s="4"/>
      <c r="E178" s="4"/>
      <c r="F178" s="4"/>
      <c r="G178" s="5"/>
    </row>
    <row r="179" spans="1:7" ht="27.5" customHeight="1">
      <c r="A179" s="3"/>
      <c r="B179" s="4"/>
      <c r="C179" s="4"/>
      <c r="D179" s="4"/>
      <c r="E179" s="4"/>
      <c r="F179" s="4"/>
      <c r="G179" s="5"/>
    </row>
    <row r="180" spans="1:7" ht="27.5" customHeight="1">
      <c r="A180" s="3"/>
      <c r="B180" s="4"/>
      <c r="C180" s="4"/>
      <c r="D180" s="4"/>
      <c r="E180" s="4"/>
      <c r="F180" s="4"/>
      <c r="G180" s="5"/>
    </row>
    <row r="181" spans="1:7" ht="27.5" customHeight="1">
      <c r="A181" s="3"/>
      <c r="B181" s="4"/>
      <c r="C181" s="4"/>
      <c r="D181" s="4"/>
      <c r="E181" s="4"/>
      <c r="F181" s="4"/>
      <c r="G181" s="5"/>
    </row>
    <row r="182" spans="1:7" ht="27.5" customHeight="1">
      <c r="A182" s="3"/>
      <c r="B182" s="4"/>
      <c r="C182" s="4"/>
      <c r="D182" s="4"/>
      <c r="E182" s="4"/>
      <c r="F182" s="4"/>
      <c r="G182" s="5"/>
    </row>
    <row r="183" spans="1:7" ht="27.5" customHeight="1">
      <c r="A183" s="3"/>
      <c r="B183" s="4"/>
      <c r="C183" s="4"/>
      <c r="D183" s="4"/>
      <c r="E183" s="4"/>
      <c r="F183" s="4"/>
      <c r="G183" s="5"/>
    </row>
    <row r="184" spans="1:7" ht="27.5" customHeight="1">
      <c r="A184" s="3"/>
      <c r="B184" s="4"/>
      <c r="C184" s="4"/>
      <c r="D184" s="4"/>
      <c r="E184" s="4"/>
      <c r="F184" s="4"/>
      <c r="G184" s="5"/>
    </row>
    <row r="185" spans="1:7" ht="27.5" customHeight="1">
      <c r="A185" s="3"/>
      <c r="B185" s="4"/>
      <c r="C185" s="4"/>
      <c r="D185" s="4"/>
      <c r="E185" s="4"/>
      <c r="F185" s="4"/>
      <c r="G185" s="5"/>
    </row>
    <row r="186" spans="1:7" ht="27.5" customHeight="1">
      <c r="A186" s="3"/>
      <c r="B186" s="4"/>
      <c r="C186" s="4"/>
      <c r="D186" s="4"/>
      <c r="E186" s="4"/>
      <c r="F186" s="4"/>
      <c r="G186" s="5"/>
    </row>
    <row r="187" spans="1:7" ht="27.5" customHeight="1">
      <c r="A187" s="3"/>
      <c r="B187" s="4"/>
      <c r="C187" s="4"/>
      <c r="D187" s="4"/>
      <c r="E187" s="4"/>
      <c r="F187" s="4"/>
      <c r="G187" s="5"/>
    </row>
    <row r="188" spans="1:7" ht="27.5" customHeight="1">
      <c r="A188" s="3"/>
      <c r="B188" s="4"/>
      <c r="C188" s="4"/>
      <c r="D188" s="4"/>
      <c r="E188" s="4"/>
      <c r="F188" s="4"/>
      <c r="G188" s="5"/>
    </row>
    <row r="189" spans="1:7" ht="27.5" customHeight="1">
      <c r="A189" s="3"/>
      <c r="B189" s="4"/>
      <c r="C189" s="4"/>
      <c r="D189" s="4"/>
      <c r="E189" s="4"/>
      <c r="F189" s="4"/>
      <c r="G189" s="5"/>
    </row>
    <row r="190" spans="1:7" ht="27.5" customHeight="1">
      <c r="A190" s="3"/>
      <c r="B190" s="4"/>
      <c r="C190" s="4"/>
      <c r="D190" s="4"/>
      <c r="E190" s="4"/>
      <c r="F190" s="4"/>
      <c r="G190" s="5"/>
    </row>
    <row r="191" spans="1:7" ht="27.5" customHeight="1">
      <c r="A191" s="3"/>
      <c r="B191" s="4"/>
      <c r="C191" s="4"/>
      <c r="D191" s="4"/>
      <c r="E191" s="4"/>
      <c r="F191" s="4"/>
      <c r="G191" s="5"/>
    </row>
    <row r="192" spans="1:7" ht="27.5" customHeight="1">
      <c r="A192" s="3"/>
      <c r="B192" s="4"/>
      <c r="C192" s="4"/>
      <c r="D192" s="4"/>
      <c r="E192" s="4"/>
      <c r="F192" s="4"/>
      <c r="G192" s="5"/>
    </row>
    <row r="193" spans="1:7" ht="27.5" customHeight="1">
      <c r="A193" s="3"/>
      <c r="B193" s="4"/>
      <c r="C193" s="4"/>
      <c r="D193" s="4"/>
      <c r="E193" s="4"/>
      <c r="F193" s="4"/>
      <c r="G193" s="5"/>
    </row>
    <row r="194" spans="1:7" ht="27.5" customHeight="1">
      <c r="A194" s="3"/>
      <c r="B194" s="4"/>
      <c r="C194" s="4"/>
      <c r="D194" s="4"/>
      <c r="E194" s="4"/>
      <c r="F194" s="4"/>
      <c r="G194" s="5"/>
    </row>
    <row r="195" spans="1:7" ht="27.5" customHeight="1">
      <c r="A195" s="3"/>
      <c r="B195" s="4"/>
      <c r="C195" s="4"/>
      <c r="D195" s="4"/>
      <c r="E195" s="4"/>
      <c r="F195" s="4"/>
      <c r="G195" s="5"/>
    </row>
    <row r="196" spans="1:7" ht="27.5" customHeight="1">
      <c r="A196" s="3"/>
      <c r="B196" s="4"/>
      <c r="C196" s="4"/>
      <c r="D196" s="4"/>
      <c r="E196" s="4"/>
      <c r="F196" s="4"/>
      <c r="G196" s="5"/>
    </row>
    <row r="197" spans="1:7" ht="27.5" customHeight="1">
      <c r="A197" s="3"/>
      <c r="B197" s="4"/>
      <c r="C197" s="4"/>
      <c r="D197" s="4"/>
      <c r="E197" s="4"/>
      <c r="F197" s="4"/>
      <c r="G197" s="5"/>
    </row>
    <row r="198" spans="1:7" ht="27.5" customHeight="1">
      <c r="A198" s="3"/>
      <c r="B198" s="4"/>
      <c r="C198" s="4"/>
      <c r="D198" s="4"/>
      <c r="E198" s="4"/>
      <c r="F198" s="4"/>
      <c r="G198" s="5"/>
    </row>
    <row r="199" spans="1:7" ht="27.5" customHeight="1">
      <c r="A199" s="3"/>
      <c r="B199" s="4"/>
      <c r="C199" s="4"/>
      <c r="D199" s="4"/>
      <c r="E199" s="4"/>
      <c r="F199" s="4"/>
      <c r="G199" s="5"/>
    </row>
    <row r="200" spans="1:7" ht="27.5" customHeight="1">
      <c r="A200" s="3"/>
      <c r="B200" s="4"/>
      <c r="C200" s="4"/>
      <c r="D200" s="4"/>
      <c r="E200" s="4"/>
      <c r="F200" s="4"/>
      <c r="G200" s="5"/>
    </row>
    <row r="201" spans="1:7" ht="27.5" customHeight="1">
      <c r="A201" s="3"/>
      <c r="B201" s="4"/>
      <c r="C201" s="4"/>
      <c r="D201" s="4"/>
      <c r="E201" s="4"/>
      <c r="F201" s="4"/>
      <c r="G201" s="5"/>
    </row>
    <row r="202" spans="1:7" ht="27.5" customHeight="1">
      <c r="A202" s="3"/>
      <c r="B202" s="4"/>
      <c r="C202" s="4"/>
      <c r="D202" s="4"/>
      <c r="E202" s="4"/>
      <c r="F202" s="4"/>
      <c r="G202" s="5"/>
    </row>
    <row r="203" spans="1:7" ht="27.5" customHeight="1">
      <c r="A203" s="3"/>
      <c r="B203" s="4"/>
      <c r="C203" s="4"/>
      <c r="D203" s="4"/>
      <c r="E203" s="4"/>
      <c r="F203" s="4"/>
      <c r="G203" s="5"/>
    </row>
    <row r="204" spans="1:7" ht="27.5" customHeight="1">
      <c r="A204" s="3"/>
      <c r="B204" s="4"/>
      <c r="C204" s="4"/>
      <c r="D204" s="4"/>
      <c r="E204" s="4"/>
      <c r="F204" s="4"/>
      <c r="G204" s="5"/>
    </row>
    <row r="205" spans="1:7" ht="27.5" customHeight="1">
      <c r="A205" s="3"/>
      <c r="B205" s="4"/>
      <c r="C205" s="4"/>
      <c r="D205" s="4"/>
      <c r="E205" s="4"/>
      <c r="F205" s="4"/>
      <c r="G205" s="5"/>
    </row>
    <row r="206" spans="1:7" ht="27.5" customHeight="1">
      <c r="A206" s="3"/>
      <c r="B206" s="4"/>
      <c r="C206" s="4"/>
      <c r="D206" s="4"/>
      <c r="E206" s="4"/>
      <c r="F206" s="4"/>
      <c r="G206" s="5"/>
    </row>
    <row r="207" spans="1:7" ht="27.5" customHeight="1">
      <c r="A207" s="3"/>
      <c r="B207" s="4"/>
      <c r="C207" s="4"/>
      <c r="D207" s="4"/>
      <c r="E207" s="4"/>
      <c r="F207" s="4"/>
      <c r="G207" s="5"/>
    </row>
    <row r="208" spans="1:7" ht="27.5" customHeight="1">
      <c r="A208" s="3"/>
      <c r="B208" s="4"/>
      <c r="C208" s="4"/>
      <c r="D208" s="4"/>
      <c r="E208" s="4"/>
      <c r="F208" s="4"/>
      <c r="G208" s="5"/>
    </row>
    <row r="209" spans="1:7" ht="27.5" customHeight="1">
      <c r="A209" s="3"/>
      <c r="B209" s="4"/>
      <c r="C209" s="4"/>
      <c r="D209" s="4"/>
      <c r="E209" s="4"/>
      <c r="F209" s="4"/>
      <c r="G209" s="5"/>
    </row>
    <row r="210" spans="1:7" ht="27.5" customHeight="1">
      <c r="A210" s="3"/>
      <c r="B210" s="4"/>
      <c r="C210" s="4"/>
      <c r="D210" s="4"/>
      <c r="E210" s="4"/>
      <c r="F210" s="4"/>
      <c r="G210" s="5"/>
    </row>
    <row r="211" spans="1:7" ht="27.5" customHeight="1">
      <c r="A211" s="3"/>
      <c r="B211" s="4"/>
      <c r="C211" s="4"/>
      <c r="D211" s="4"/>
      <c r="E211" s="4"/>
      <c r="F211" s="4"/>
      <c r="G211" s="5"/>
    </row>
    <row r="212" spans="1:7" ht="27.5" customHeight="1">
      <c r="A212" s="3"/>
      <c r="B212" s="4"/>
      <c r="C212" s="4"/>
      <c r="D212" s="4"/>
      <c r="E212" s="4"/>
      <c r="F212" s="4"/>
      <c r="G212" s="5"/>
    </row>
    <row r="213" spans="1:7" ht="27.5" customHeight="1">
      <c r="A213" s="3"/>
      <c r="B213" s="4"/>
      <c r="C213" s="4"/>
      <c r="D213" s="4"/>
      <c r="E213" s="4"/>
      <c r="F213" s="4"/>
      <c r="G213" s="5"/>
    </row>
    <row r="214" spans="1:7" ht="27.5" customHeight="1">
      <c r="A214" s="3"/>
      <c r="B214" s="4"/>
      <c r="C214" s="4"/>
      <c r="D214" s="4"/>
      <c r="E214" s="4"/>
      <c r="F214" s="4"/>
      <c r="G214" s="5"/>
    </row>
    <row r="215" spans="1:7" ht="27.5" customHeight="1">
      <c r="A215" s="3"/>
      <c r="B215" s="4"/>
      <c r="C215" s="4"/>
      <c r="D215" s="4"/>
      <c r="E215" s="4"/>
      <c r="F215" s="4"/>
      <c r="G215" s="5"/>
    </row>
    <row r="216" spans="1:7" ht="27.5" customHeight="1">
      <c r="A216" s="3"/>
      <c r="B216" s="4"/>
      <c r="C216" s="4"/>
      <c r="D216" s="4"/>
      <c r="E216" s="4"/>
      <c r="F216" s="4"/>
      <c r="G216" s="5"/>
    </row>
    <row r="217" spans="1:7" ht="27.5" customHeight="1">
      <c r="A217" s="3"/>
      <c r="B217" s="4"/>
      <c r="C217" s="4"/>
      <c r="D217" s="4"/>
      <c r="E217" s="4"/>
      <c r="F217" s="4"/>
      <c r="G217" s="5"/>
    </row>
    <row r="218" spans="1:7" ht="27.5" customHeight="1">
      <c r="A218" s="3"/>
      <c r="B218" s="4"/>
      <c r="C218" s="4"/>
      <c r="D218" s="4"/>
      <c r="E218" s="4"/>
      <c r="F218" s="4"/>
      <c r="G218" s="5"/>
    </row>
    <row r="219" spans="1:7" ht="27.5" customHeight="1">
      <c r="A219" s="3"/>
      <c r="B219" s="4"/>
      <c r="C219" s="4"/>
      <c r="D219" s="4"/>
      <c r="E219" s="4"/>
      <c r="F219" s="4"/>
      <c r="G219" s="5"/>
    </row>
    <row r="220" spans="1:7" ht="27.5" customHeight="1">
      <c r="A220" s="3"/>
      <c r="B220" s="4"/>
      <c r="C220" s="4"/>
      <c r="D220" s="4"/>
      <c r="E220" s="4"/>
      <c r="F220" s="4"/>
      <c r="G220" s="5"/>
    </row>
    <row r="221" spans="1:7" ht="27.5" customHeight="1">
      <c r="A221" s="3"/>
      <c r="B221" s="4"/>
      <c r="C221" s="4"/>
      <c r="D221" s="4"/>
      <c r="E221" s="4"/>
      <c r="F221" s="4"/>
      <c r="G221" s="5"/>
    </row>
    <row r="222" spans="1:7" ht="27.5" customHeight="1">
      <c r="A222" s="3"/>
      <c r="B222" s="4"/>
      <c r="C222" s="4"/>
      <c r="D222" s="4"/>
      <c r="E222" s="4"/>
      <c r="F222" s="4"/>
      <c r="G222" s="5"/>
    </row>
    <row r="223" spans="1:7" ht="27.5" customHeight="1">
      <c r="A223" s="3"/>
      <c r="B223" s="4"/>
      <c r="C223" s="4"/>
      <c r="D223" s="4"/>
      <c r="E223" s="4"/>
      <c r="F223" s="4"/>
      <c r="G223" s="5"/>
    </row>
    <row r="224" spans="1:7" ht="27.5" customHeight="1">
      <c r="A224" s="3"/>
      <c r="B224" s="4"/>
      <c r="C224" s="4"/>
      <c r="D224" s="4"/>
      <c r="E224" s="4"/>
      <c r="F224" s="4"/>
      <c r="G224" s="5"/>
    </row>
    <row r="225" spans="1:7" ht="27.5" customHeight="1">
      <c r="A225" s="3"/>
      <c r="B225" s="4"/>
      <c r="C225" s="4"/>
      <c r="D225" s="4"/>
      <c r="E225" s="4"/>
      <c r="F225" s="4"/>
      <c r="G225" s="5"/>
    </row>
    <row r="226" spans="1:7" ht="27.5" customHeight="1">
      <c r="A226" s="3"/>
      <c r="B226" s="4"/>
      <c r="C226" s="4"/>
      <c r="D226" s="4"/>
      <c r="E226" s="4"/>
      <c r="F226" s="4"/>
      <c r="G226" s="5"/>
    </row>
    <row r="227" spans="1:7" ht="27.5" customHeight="1">
      <c r="A227" s="3"/>
      <c r="B227" s="4"/>
      <c r="C227" s="4"/>
      <c r="D227" s="4"/>
      <c r="E227" s="4"/>
      <c r="F227" s="4"/>
      <c r="G227" s="5"/>
    </row>
    <row r="228" spans="1:7" ht="27.5" customHeight="1">
      <c r="A228" s="3"/>
      <c r="B228" s="4"/>
      <c r="C228" s="4"/>
      <c r="D228" s="4"/>
      <c r="E228" s="4"/>
      <c r="F228" s="4"/>
      <c r="G228" s="5"/>
    </row>
    <row r="229" spans="1:7" ht="27.5" customHeight="1">
      <c r="A229" s="3"/>
      <c r="B229" s="4"/>
      <c r="C229" s="4"/>
      <c r="D229" s="4"/>
      <c r="E229" s="4"/>
      <c r="F229" s="4"/>
      <c r="G229" s="5"/>
    </row>
    <row r="230" spans="1:7" ht="27.5" customHeight="1">
      <c r="A230" s="3"/>
      <c r="B230" s="4"/>
      <c r="C230" s="4"/>
      <c r="D230" s="4"/>
      <c r="E230" s="4"/>
      <c r="F230" s="4"/>
      <c r="G230" s="5"/>
    </row>
    <row r="231" spans="1:7" ht="27.5" customHeight="1">
      <c r="A231" s="3"/>
      <c r="B231" s="4"/>
      <c r="C231" s="4"/>
      <c r="D231" s="4"/>
      <c r="E231" s="4"/>
      <c r="F231" s="4"/>
      <c r="G231" s="5"/>
    </row>
    <row r="232" spans="1:7" ht="27.5" customHeight="1">
      <c r="A232" s="3"/>
      <c r="B232" s="4"/>
      <c r="C232" s="4"/>
      <c r="D232" s="4"/>
      <c r="E232" s="4"/>
      <c r="F232" s="4"/>
      <c r="G232" s="5"/>
    </row>
    <row r="233" spans="1:7" ht="27.5" customHeight="1">
      <c r="A233" s="3"/>
      <c r="B233" s="4"/>
      <c r="C233" s="4"/>
      <c r="D233" s="4"/>
      <c r="E233" s="4"/>
      <c r="F233" s="4"/>
      <c r="G233" s="5"/>
    </row>
    <row r="234" spans="1:7" ht="27.5" customHeight="1">
      <c r="A234" s="3"/>
      <c r="B234" s="4"/>
      <c r="C234" s="4"/>
      <c r="D234" s="4"/>
      <c r="E234" s="4"/>
      <c r="F234" s="4"/>
      <c r="G234" s="5"/>
    </row>
    <row r="235" spans="1:7" ht="27.5" customHeight="1">
      <c r="A235" s="3"/>
      <c r="B235" s="4"/>
      <c r="C235" s="4"/>
      <c r="D235" s="4"/>
      <c r="E235" s="4"/>
      <c r="F235" s="4"/>
      <c r="G235" s="5"/>
    </row>
    <row r="236" spans="1:7" ht="27.5" customHeight="1">
      <c r="A236" s="3"/>
      <c r="B236" s="4"/>
      <c r="C236" s="4"/>
      <c r="D236" s="4"/>
      <c r="E236" s="4"/>
      <c r="F236" s="4"/>
      <c r="G236" s="5"/>
    </row>
    <row r="237" spans="1:7" ht="27.5" customHeight="1">
      <c r="A237" s="3"/>
      <c r="B237" s="4"/>
      <c r="C237" s="4"/>
      <c r="D237" s="4"/>
      <c r="E237" s="4"/>
      <c r="F237" s="4"/>
      <c r="G237" s="5"/>
    </row>
    <row r="238" spans="1:7" ht="27.5" customHeight="1">
      <c r="A238" s="3"/>
      <c r="B238" s="4"/>
      <c r="C238" s="4"/>
      <c r="D238" s="4"/>
      <c r="E238" s="4"/>
      <c r="F238" s="4"/>
      <c r="G238" s="5"/>
    </row>
    <row r="239" spans="1:7" ht="27.5" customHeight="1">
      <c r="A239" s="3"/>
      <c r="B239" s="4"/>
      <c r="C239" s="4"/>
      <c r="D239" s="4"/>
      <c r="E239" s="4"/>
      <c r="F239" s="4"/>
      <c r="G239" s="5"/>
    </row>
    <row r="240" spans="1:7" ht="27.5" customHeight="1">
      <c r="A240" s="3"/>
      <c r="B240" s="4"/>
      <c r="C240" s="4"/>
      <c r="D240" s="4"/>
      <c r="E240" s="4"/>
      <c r="F240" s="4"/>
      <c r="G240" s="5"/>
    </row>
    <row r="241" spans="1:7" ht="27.5" customHeight="1">
      <c r="A241" s="3"/>
      <c r="B241" s="4"/>
      <c r="C241" s="4"/>
      <c r="D241" s="4"/>
      <c r="E241" s="4"/>
      <c r="F241" s="4"/>
      <c r="G241" s="5"/>
    </row>
    <row r="242" spans="1:7" ht="27.5" customHeight="1">
      <c r="A242" s="3"/>
      <c r="B242" s="4"/>
      <c r="C242" s="4"/>
      <c r="D242" s="4"/>
      <c r="E242" s="4"/>
      <c r="F242" s="4"/>
      <c r="G242" s="5"/>
    </row>
    <row r="243" spans="1:7" ht="27.5" customHeight="1">
      <c r="A243" s="3"/>
      <c r="B243" s="4"/>
      <c r="C243" s="4"/>
      <c r="D243" s="4"/>
      <c r="E243" s="4"/>
      <c r="F243" s="4"/>
      <c r="G243" s="5"/>
    </row>
    <row r="244" spans="1:7" ht="27.5" customHeight="1">
      <c r="A244" s="3"/>
      <c r="B244" s="4"/>
      <c r="C244" s="4"/>
      <c r="D244" s="4"/>
      <c r="E244" s="4"/>
      <c r="F244" s="4"/>
      <c r="G244" s="5"/>
    </row>
    <row r="245" spans="1:7" ht="27.5" customHeight="1">
      <c r="A245" s="3"/>
      <c r="B245" s="4"/>
      <c r="C245" s="4"/>
      <c r="D245" s="4"/>
      <c r="E245" s="4"/>
      <c r="F245" s="4"/>
      <c r="G245" s="5"/>
    </row>
    <row r="246" spans="1:7" ht="27.5" customHeight="1">
      <c r="A246" s="3"/>
      <c r="B246" s="4"/>
      <c r="C246" s="4"/>
      <c r="D246" s="4"/>
      <c r="E246" s="4"/>
      <c r="F246" s="4"/>
      <c r="G246" s="5"/>
    </row>
    <row r="247" spans="1:7" ht="27.5" customHeight="1">
      <c r="A247" s="3"/>
      <c r="B247" s="4"/>
      <c r="C247" s="4"/>
      <c r="D247" s="4"/>
      <c r="E247" s="4"/>
      <c r="F247" s="4"/>
      <c r="G247" s="5"/>
    </row>
    <row r="248" spans="1:7" ht="27.5" customHeight="1">
      <c r="A248" s="3"/>
      <c r="B248" s="4"/>
      <c r="C248" s="4"/>
      <c r="D248" s="4"/>
      <c r="E248" s="4"/>
      <c r="F248" s="4"/>
      <c r="G248" s="5"/>
    </row>
    <row r="249" spans="1:7" ht="27.5" customHeight="1">
      <c r="A249" s="3"/>
      <c r="B249" s="4"/>
      <c r="C249" s="4"/>
      <c r="D249" s="4"/>
      <c r="E249" s="4"/>
      <c r="F249" s="4"/>
      <c r="G249" s="5"/>
    </row>
    <row r="250" spans="1:7" ht="27.5" customHeight="1">
      <c r="A250" s="3"/>
      <c r="B250" s="4"/>
      <c r="C250" s="4"/>
      <c r="D250" s="4"/>
      <c r="E250" s="4"/>
      <c r="F250" s="4"/>
      <c r="G250" s="5"/>
    </row>
    <row r="251" spans="1:7" ht="27.5" customHeight="1">
      <c r="A251" s="3"/>
      <c r="B251" s="4"/>
      <c r="C251" s="4"/>
      <c r="D251" s="4"/>
      <c r="E251" s="4"/>
      <c r="F251" s="4"/>
      <c r="G251" s="5"/>
    </row>
    <row r="252" spans="1:7" ht="27.5" customHeight="1">
      <c r="A252" s="3"/>
      <c r="B252" s="4"/>
      <c r="C252" s="4"/>
      <c r="D252" s="4"/>
      <c r="E252" s="4"/>
      <c r="F252" s="4"/>
      <c r="G252" s="5"/>
    </row>
    <row r="253" spans="1:7" ht="27.5" customHeight="1">
      <c r="A253" s="3"/>
      <c r="B253" s="4"/>
      <c r="C253" s="4"/>
      <c r="D253" s="4"/>
      <c r="E253" s="4"/>
      <c r="F253" s="4"/>
      <c r="G253" s="5"/>
    </row>
    <row r="254" spans="1:7" ht="27.5" customHeight="1">
      <c r="A254" s="3"/>
      <c r="B254" s="4"/>
      <c r="C254" s="4"/>
      <c r="D254" s="4"/>
      <c r="E254" s="4"/>
      <c r="F254" s="4"/>
      <c r="G254" s="5"/>
    </row>
    <row r="255" spans="1:7" ht="27.5" customHeight="1">
      <c r="A255" s="3"/>
      <c r="B255" s="4"/>
      <c r="C255" s="4"/>
      <c r="D255" s="4"/>
      <c r="E255" s="4"/>
      <c r="F255" s="4"/>
      <c r="G255" s="5"/>
    </row>
    <row r="256" spans="1:7" ht="27.5" customHeight="1">
      <c r="A256" s="3"/>
      <c r="B256" s="4"/>
      <c r="C256" s="4"/>
      <c r="D256" s="4"/>
      <c r="E256" s="4"/>
      <c r="F256" s="4"/>
      <c r="G256" s="5"/>
    </row>
    <row r="257" spans="1:7" ht="27.5" customHeight="1">
      <c r="A257" s="3"/>
      <c r="B257" s="4"/>
      <c r="C257" s="4"/>
      <c r="D257" s="4"/>
      <c r="E257" s="4"/>
      <c r="F257" s="4"/>
      <c r="G257" s="5"/>
    </row>
    <row r="258" spans="1:7" ht="27.5" customHeight="1">
      <c r="A258" s="3"/>
      <c r="B258" s="4"/>
      <c r="C258" s="4"/>
      <c r="D258" s="4"/>
      <c r="E258" s="4"/>
      <c r="F258" s="4"/>
      <c r="G258" s="5"/>
    </row>
    <row r="259" spans="1:7" ht="27.5" customHeight="1">
      <c r="A259" s="3"/>
      <c r="B259" s="4"/>
      <c r="C259" s="4"/>
      <c r="D259" s="4"/>
      <c r="E259" s="4"/>
      <c r="F259" s="4"/>
      <c r="G259" s="5"/>
    </row>
    <row r="260" spans="1:7" ht="27.5" customHeight="1">
      <c r="A260" s="3"/>
      <c r="B260" s="4"/>
      <c r="C260" s="4"/>
      <c r="D260" s="4"/>
      <c r="E260" s="4"/>
      <c r="F260" s="4"/>
      <c r="G260" s="5"/>
    </row>
    <row r="261" spans="1:7" ht="27.5" customHeight="1">
      <c r="A261" s="3"/>
      <c r="B261" s="4"/>
      <c r="C261" s="4"/>
      <c r="D261" s="4"/>
      <c r="E261" s="4"/>
      <c r="F261" s="4"/>
      <c r="G261" s="5"/>
    </row>
    <row r="262" spans="1:7" ht="27.5" customHeight="1">
      <c r="A262" s="3"/>
      <c r="B262" s="4"/>
      <c r="C262" s="4"/>
      <c r="D262" s="4"/>
      <c r="E262" s="4"/>
      <c r="F262" s="4"/>
      <c r="G262" s="5"/>
    </row>
    <row r="263" spans="1:7" ht="27.5" customHeight="1">
      <c r="A263" s="3"/>
      <c r="B263" s="4"/>
      <c r="C263" s="4"/>
      <c r="D263" s="4"/>
      <c r="E263" s="4"/>
      <c r="F263" s="4"/>
      <c r="G263" s="5"/>
    </row>
    <row r="264" spans="1:7" ht="27.5" customHeight="1">
      <c r="A264" s="3"/>
      <c r="B264" s="4"/>
      <c r="C264" s="4"/>
      <c r="D264" s="4"/>
      <c r="E264" s="4"/>
      <c r="F264" s="4"/>
      <c r="G264" s="5"/>
    </row>
    <row r="265" spans="1:7" ht="27.5" customHeight="1">
      <c r="A265" s="3"/>
      <c r="B265" s="4"/>
      <c r="C265" s="4"/>
      <c r="D265" s="4"/>
      <c r="E265" s="4"/>
      <c r="F265" s="4"/>
      <c r="G265" s="5"/>
    </row>
    <row r="266" spans="1:7" ht="27.5" customHeight="1">
      <c r="A266" s="3"/>
      <c r="B266" s="4"/>
      <c r="C266" s="4"/>
      <c r="D266" s="4"/>
      <c r="E266" s="4"/>
      <c r="F266" s="4"/>
      <c r="G266" s="5"/>
    </row>
    <row r="267" spans="1:7" ht="27.5" customHeight="1">
      <c r="A267" s="3"/>
      <c r="B267" s="4"/>
      <c r="C267" s="4"/>
      <c r="D267" s="4"/>
      <c r="E267" s="4"/>
      <c r="F267" s="4"/>
      <c r="G267" s="5"/>
    </row>
    <row r="268" spans="1:7" ht="27.5" customHeight="1">
      <c r="A268" s="3"/>
      <c r="B268" s="4"/>
      <c r="C268" s="4"/>
      <c r="D268" s="4"/>
      <c r="E268" s="4"/>
      <c r="F268" s="4"/>
      <c r="G268" s="5"/>
    </row>
    <row r="269" spans="1:7" ht="27.5" customHeight="1">
      <c r="A269" s="3"/>
      <c r="B269" s="4"/>
      <c r="C269" s="4"/>
      <c r="D269" s="4"/>
      <c r="E269" s="4"/>
      <c r="F269" s="4"/>
      <c r="G269" s="5"/>
    </row>
    <row r="270" spans="1:7" ht="27.5" customHeight="1">
      <c r="A270" s="3"/>
      <c r="B270" s="4"/>
      <c r="C270" s="4"/>
      <c r="D270" s="4"/>
      <c r="E270" s="4"/>
      <c r="F270" s="4"/>
      <c r="G270" s="5"/>
    </row>
    <row r="271" spans="1:7" ht="27.5" customHeight="1">
      <c r="A271" s="3"/>
      <c r="B271" s="4"/>
      <c r="C271" s="4"/>
      <c r="D271" s="4"/>
      <c r="E271" s="4"/>
      <c r="F271" s="4"/>
      <c r="G271" s="5"/>
    </row>
    <row r="272" spans="1:7" ht="27.5" customHeight="1">
      <c r="A272" s="3"/>
      <c r="B272" s="4"/>
      <c r="C272" s="4"/>
      <c r="D272" s="4"/>
      <c r="E272" s="4"/>
      <c r="F272" s="4"/>
      <c r="G272" s="5"/>
    </row>
    <row r="273" spans="1:7" ht="27.5" customHeight="1">
      <c r="A273" s="3"/>
      <c r="B273" s="4"/>
      <c r="C273" s="4"/>
      <c r="D273" s="4"/>
      <c r="E273" s="4"/>
      <c r="F273" s="4"/>
      <c r="G273" s="5"/>
    </row>
    <row r="274" spans="1:7" ht="27.5" customHeight="1">
      <c r="A274" s="3"/>
      <c r="B274" s="4"/>
      <c r="C274" s="4"/>
      <c r="D274" s="4"/>
      <c r="E274" s="4"/>
      <c r="F274" s="4"/>
      <c r="G274" s="5"/>
    </row>
    <row r="275" spans="1:7" ht="27.5" customHeight="1">
      <c r="A275" s="3"/>
      <c r="B275" s="4"/>
      <c r="C275" s="4"/>
      <c r="D275" s="4"/>
      <c r="E275" s="4"/>
      <c r="F275" s="4"/>
      <c r="G275" s="5"/>
    </row>
    <row r="276" spans="1:7" ht="27.5" customHeight="1">
      <c r="A276" s="3"/>
      <c r="B276" s="4"/>
      <c r="C276" s="4"/>
      <c r="D276" s="4"/>
      <c r="E276" s="4"/>
      <c r="F276" s="4"/>
      <c r="G276" s="5"/>
    </row>
    <row r="277" spans="1:7" ht="27.5" customHeight="1">
      <c r="A277" s="3"/>
      <c r="B277" s="4"/>
      <c r="C277" s="4"/>
      <c r="D277" s="4"/>
      <c r="E277" s="4"/>
      <c r="F277" s="4"/>
      <c r="G277" s="5"/>
    </row>
    <row r="278" spans="1:7" ht="27.5" customHeight="1">
      <c r="A278" s="3"/>
      <c r="B278" s="4"/>
      <c r="C278" s="4"/>
      <c r="D278" s="4"/>
      <c r="E278" s="4"/>
      <c r="F278" s="4"/>
      <c r="G278" s="5"/>
    </row>
    <row r="279" spans="1:7" ht="27.5" customHeight="1">
      <c r="A279" s="3"/>
      <c r="B279" s="4"/>
      <c r="C279" s="4"/>
      <c r="D279" s="4"/>
      <c r="E279" s="4"/>
      <c r="F279" s="4"/>
      <c r="G279" s="5"/>
    </row>
    <row r="280" spans="1:7" ht="27.5" customHeight="1">
      <c r="A280" s="3"/>
      <c r="B280" s="4"/>
      <c r="C280" s="4"/>
      <c r="D280" s="4"/>
      <c r="E280" s="4"/>
      <c r="F280" s="4"/>
      <c r="G280" s="5"/>
    </row>
    <row r="281" spans="1:7" ht="27.5" customHeight="1">
      <c r="A281" s="3"/>
      <c r="B281" s="4"/>
      <c r="C281" s="4"/>
      <c r="D281" s="4"/>
      <c r="E281" s="4"/>
      <c r="F281" s="4"/>
      <c r="G281" s="5"/>
    </row>
    <row r="282" spans="1:7" ht="27.5" customHeight="1">
      <c r="A282" s="3"/>
      <c r="B282" s="4"/>
      <c r="C282" s="4"/>
      <c r="D282" s="4"/>
      <c r="E282" s="4"/>
      <c r="F282" s="4"/>
      <c r="G282" s="5"/>
    </row>
    <row r="283" spans="1:7" ht="27.5" customHeight="1">
      <c r="A283" s="3"/>
      <c r="B283" s="4"/>
      <c r="C283" s="4"/>
      <c r="D283" s="4"/>
      <c r="E283" s="4"/>
      <c r="F283" s="4"/>
      <c r="G283" s="5"/>
    </row>
    <row r="284" spans="1:7" ht="27.5" customHeight="1">
      <c r="A284" s="3"/>
      <c r="B284" s="4"/>
      <c r="C284" s="4"/>
      <c r="D284" s="4"/>
      <c r="E284" s="4"/>
      <c r="F284" s="4"/>
      <c r="G284" s="5"/>
    </row>
    <row r="285" spans="1:7" ht="27.5" customHeight="1">
      <c r="A285" s="3"/>
      <c r="B285" s="4"/>
      <c r="C285" s="4"/>
      <c r="D285" s="4"/>
      <c r="E285" s="4"/>
      <c r="F285" s="4"/>
      <c r="G285" s="5"/>
    </row>
    <row r="286" spans="1:7" ht="27.5" customHeight="1">
      <c r="A286" s="3"/>
      <c r="B286" s="4"/>
      <c r="C286" s="4"/>
      <c r="D286" s="4"/>
      <c r="E286" s="4"/>
      <c r="F286" s="4"/>
      <c r="G286" s="5"/>
    </row>
    <row r="287" spans="1:7" ht="27.5" customHeight="1">
      <c r="A287" s="3"/>
      <c r="B287" s="4"/>
      <c r="C287" s="4"/>
      <c r="D287" s="4"/>
      <c r="E287" s="4"/>
      <c r="F287" s="4"/>
      <c r="G287" s="5"/>
    </row>
    <row r="288" spans="1:7" ht="27.5" customHeight="1">
      <c r="A288" s="3"/>
      <c r="B288" s="4"/>
      <c r="C288" s="4"/>
      <c r="D288" s="4"/>
      <c r="E288" s="4"/>
      <c r="F288" s="4"/>
      <c r="G288" s="5"/>
    </row>
    <row r="289" spans="1:7" ht="27.5" customHeight="1">
      <c r="A289" s="3"/>
      <c r="B289" s="4"/>
      <c r="C289" s="4"/>
      <c r="D289" s="4"/>
      <c r="E289" s="4"/>
      <c r="F289" s="4"/>
      <c r="G289" s="5"/>
    </row>
    <row r="290" spans="1:7" ht="27.5" customHeight="1">
      <c r="A290" s="3"/>
      <c r="B290" s="4"/>
      <c r="C290" s="4"/>
      <c r="D290" s="4"/>
      <c r="E290" s="4"/>
      <c r="F290" s="4"/>
      <c r="G290" s="5"/>
    </row>
    <row r="291" spans="1:7" ht="27.5" customHeight="1">
      <c r="A291" s="3"/>
      <c r="B291" s="4"/>
      <c r="C291" s="4"/>
      <c r="D291" s="4"/>
      <c r="E291" s="4"/>
      <c r="F291" s="4"/>
      <c r="G291" s="5"/>
    </row>
    <row r="292" spans="1:7" ht="27.5" customHeight="1">
      <c r="A292" s="3"/>
      <c r="B292" s="4"/>
      <c r="C292" s="4"/>
      <c r="D292" s="4"/>
      <c r="E292" s="4"/>
      <c r="F292" s="4"/>
      <c r="G292" s="5"/>
    </row>
    <row r="293" spans="1:7" ht="27.5" customHeight="1">
      <c r="A293" s="3"/>
      <c r="B293" s="4"/>
      <c r="C293" s="4"/>
      <c r="D293" s="4"/>
      <c r="E293" s="4"/>
      <c r="F293" s="4"/>
      <c r="G293" s="5"/>
    </row>
    <row r="294" spans="1:7" ht="27.5" customHeight="1">
      <c r="A294" s="3"/>
      <c r="B294" s="4"/>
      <c r="C294" s="4"/>
      <c r="D294" s="4"/>
      <c r="E294" s="4"/>
      <c r="F294" s="4"/>
      <c r="G294" s="5"/>
    </row>
    <row r="295" spans="1:7" ht="27.5" customHeight="1">
      <c r="A295" s="3"/>
      <c r="B295" s="4"/>
      <c r="C295" s="4"/>
      <c r="D295" s="4"/>
      <c r="E295" s="4"/>
      <c r="F295" s="4"/>
      <c r="G295" s="5"/>
    </row>
    <row r="296" spans="1:7" ht="27.5" customHeight="1">
      <c r="A296" s="3"/>
      <c r="B296" s="4"/>
      <c r="C296" s="4"/>
      <c r="D296" s="4"/>
      <c r="E296" s="4"/>
      <c r="F296" s="4"/>
      <c r="G296" s="5"/>
    </row>
    <row r="297" spans="1:7" ht="27.5" customHeight="1">
      <c r="A297" s="3"/>
      <c r="B297" s="4"/>
      <c r="C297" s="4"/>
      <c r="D297" s="4"/>
      <c r="E297" s="4"/>
      <c r="F297" s="4"/>
      <c r="G297" s="5"/>
    </row>
    <row r="298" spans="1:7" ht="27.5" customHeight="1">
      <c r="A298" s="3"/>
      <c r="B298" s="4"/>
      <c r="C298" s="4"/>
      <c r="D298" s="4"/>
      <c r="E298" s="4"/>
      <c r="F298" s="4"/>
      <c r="G298" s="5"/>
    </row>
    <row r="299" spans="1:7" ht="27.5" customHeight="1">
      <c r="A299" s="3"/>
      <c r="B299" s="4"/>
      <c r="C299" s="4"/>
      <c r="D299" s="4"/>
      <c r="E299" s="4"/>
      <c r="F299" s="4"/>
      <c r="G299" s="5"/>
    </row>
    <row r="300" spans="1:7" ht="27.5" customHeight="1">
      <c r="A300" s="3"/>
      <c r="B300" s="4"/>
      <c r="C300" s="4"/>
      <c r="D300" s="4"/>
      <c r="E300" s="4"/>
      <c r="F300" s="4"/>
      <c r="G300" s="5"/>
    </row>
    <row r="301" spans="1:7" ht="27.5" customHeight="1">
      <c r="A301" s="3"/>
      <c r="B301" s="4"/>
      <c r="C301" s="4"/>
      <c r="D301" s="4"/>
      <c r="E301" s="4"/>
      <c r="F301" s="4"/>
      <c r="G301" s="5"/>
    </row>
  </sheetData>
  <autoFilter ref="A1:H6" xr:uid="{00000000-0009-0000-0000-000001000000}"/>
  <conditionalFormatting sqref="C2">
    <cfRule type="expression" dxfId="27" priority="5">
      <formula>C2="completed"</formula>
    </cfRule>
    <cfRule type="expression" dxfId="26" priority="6">
      <formula>C2="failed"</formula>
    </cfRule>
    <cfRule type="expression" dxfId="25" priority="7">
      <formula>C2="skipped"</formula>
    </cfRule>
  </conditionalFormatting>
  <conditionalFormatting sqref="A2:G2">
    <cfRule type="expression" dxfId="24" priority="8">
      <formula>MOD(ROW(),2)=0</formula>
    </cfRule>
  </conditionalFormatting>
  <conditionalFormatting sqref="C3:C301">
    <cfRule type="expression" dxfId="23" priority="1">
      <formula>C3="completed"</formula>
    </cfRule>
    <cfRule type="expression" dxfId="22" priority="2">
      <formula>C3="failed"</formula>
    </cfRule>
    <cfRule type="expression" dxfId="21" priority="3">
      <formula>C3="skipped"</formula>
    </cfRule>
  </conditionalFormatting>
  <conditionalFormatting sqref="A3:G301">
    <cfRule type="expression" dxfId="20" priority="4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0"/>
  <sheetViews>
    <sheetView topLeftCell="A5" workbookViewId="0">
      <selection activeCell="A22" sqref="A22"/>
    </sheetView>
  </sheetViews>
  <sheetFormatPr defaultRowHeight="14.5"/>
  <cols>
    <col min="1" max="1" width="52" customWidth="1"/>
    <col min="2" max="2" width="18" customWidth="1"/>
    <col min="3" max="3" width="30" customWidth="1"/>
    <col min="4" max="4" width="15" customWidth="1"/>
    <col min="5" max="5" width="32" customWidth="1"/>
  </cols>
  <sheetData>
    <row r="1" spans="1:5" ht="28" customHeight="1">
      <c r="A1" s="9" t="s">
        <v>0</v>
      </c>
      <c r="B1" s="10" t="s">
        <v>72</v>
      </c>
      <c r="C1" s="10" t="s">
        <v>73</v>
      </c>
      <c r="D1" s="10" t="s">
        <v>6</v>
      </c>
      <c r="E1" s="11" t="s">
        <v>9</v>
      </c>
    </row>
    <row r="2" spans="1:5" ht="25.4" customHeight="1">
      <c r="A2" s="3" t="s">
        <v>10</v>
      </c>
      <c r="B2" s="4" t="s">
        <v>74</v>
      </c>
      <c r="C2" s="4" t="s">
        <v>75</v>
      </c>
      <c r="D2" s="4" t="s">
        <v>11</v>
      </c>
      <c r="E2" s="5" t="s">
        <v>76</v>
      </c>
    </row>
    <row r="3" spans="1:5" ht="25.4" customHeight="1">
      <c r="A3" s="3" t="s">
        <v>10</v>
      </c>
      <c r="B3" s="4" t="s">
        <v>77</v>
      </c>
      <c r="C3" s="4"/>
      <c r="D3" s="4" t="s">
        <v>11</v>
      </c>
      <c r="E3" s="5" t="s">
        <v>76</v>
      </c>
    </row>
    <row r="4" spans="1:5" ht="25.4" customHeight="1">
      <c r="A4" s="3" t="s">
        <v>10</v>
      </c>
      <c r="B4" s="4" t="s">
        <v>78</v>
      </c>
      <c r="C4" s="4"/>
      <c r="D4" s="4" t="s">
        <v>11</v>
      </c>
      <c r="E4" s="5" t="s">
        <v>76</v>
      </c>
    </row>
    <row r="5" spans="1:5" ht="25.4" customHeight="1">
      <c r="A5" s="3" t="s">
        <v>10</v>
      </c>
      <c r="B5" s="4" t="s">
        <v>78</v>
      </c>
      <c r="C5" s="4"/>
      <c r="D5" s="4" t="s">
        <v>11</v>
      </c>
      <c r="E5" s="5" t="s">
        <v>76</v>
      </c>
    </row>
    <row r="6" spans="1:5" ht="25.4" customHeight="1">
      <c r="A6" s="3" t="s">
        <v>10</v>
      </c>
      <c r="B6" s="4" t="s">
        <v>77</v>
      </c>
      <c r="C6" s="4"/>
      <c r="D6" s="4" t="s">
        <v>11</v>
      </c>
      <c r="E6" s="5" t="s">
        <v>76</v>
      </c>
    </row>
    <row r="7" spans="1:5" ht="25.4" customHeight="1">
      <c r="A7" s="3" t="s">
        <v>10</v>
      </c>
      <c r="B7" s="4" t="s">
        <v>78</v>
      </c>
      <c r="C7" s="4"/>
      <c r="D7" s="4" t="s">
        <v>11</v>
      </c>
      <c r="E7" s="5" t="s">
        <v>76</v>
      </c>
    </row>
    <row r="8" spans="1:5" ht="25.4" customHeight="1">
      <c r="A8" s="3" t="s">
        <v>14</v>
      </c>
      <c r="B8" s="4" t="s">
        <v>74</v>
      </c>
      <c r="C8" s="4" t="s">
        <v>75</v>
      </c>
      <c r="D8" s="4" t="s">
        <v>11</v>
      </c>
      <c r="E8" s="5" t="s">
        <v>76</v>
      </c>
    </row>
    <row r="9" spans="1:5" ht="25.4" customHeight="1">
      <c r="A9" s="3" t="s">
        <v>14</v>
      </c>
      <c r="B9" s="4" t="s">
        <v>77</v>
      </c>
      <c r="C9" s="4"/>
      <c r="D9" s="4" t="s">
        <v>11</v>
      </c>
      <c r="E9" s="5" t="s">
        <v>76</v>
      </c>
    </row>
    <row r="10" spans="1:5" ht="25.4" customHeight="1">
      <c r="A10" s="3" t="s">
        <v>14</v>
      </c>
      <c r="B10" s="4" t="s">
        <v>78</v>
      </c>
      <c r="C10" s="4"/>
      <c r="D10" s="4" t="s">
        <v>11</v>
      </c>
      <c r="E10" s="5" t="s">
        <v>76</v>
      </c>
    </row>
    <row r="11" spans="1:5" ht="25.4" customHeight="1">
      <c r="A11" s="3" t="s">
        <v>14</v>
      </c>
      <c r="B11" s="4" t="s">
        <v>78</v>
      </c>
      <c r="C11" s="4"/>
      <c r="D11" s="4" t="s">
        <v>11</v>
      </c>
      <c r="E11" s="5" t="s">
        <v>76</v>
      </c>
    </row>
    <row r="12" spans="1:5" ht="25.4" customHeight="1">
      <c r="A12" s="3" t="s">
        <v>14</v>
      </c>
      <c r="B12" s="4" t="s">
        <v>77</v>
      </c>
      <c r="C12" s="4"/>
      <c r="D12" s="4" t="s">
        <v>11</v>
      </c>
      <c r="E12" s="5" t="s">
        <v>76</v>
      </c>
    </row>
    <row r="13" spans="1:5" ht="25.4" customHeight="1">
      <c r="A13" s="3" t="s">
        <v>14</v>
      </c>
      <c r="B13" s="4" t="s">
        <v>78</v>
      </c>
      <c r="C13" s="4"/>
      <c r="D13" s="4" t="s">
        <v>11</v>
      </c>
      <c r="E13" s="5" t="s">
        <v>76</v>
      </c>
    </row>
    <row r="14" spans="1:5" ht="25.4" customHeight="1">
      <c r="A14" s="3" t="s">
        <v>15</v>
      </c>
      <c r="B14" s="4" t="s">
        <v>74</v>
      </c>
      <c r="C14" s="4" t="s">
        <v>75</v>
      </c>
      <c r="D14" s="4" t="s">
        <v>11</v>
      </c>
      <c r="E14" s="5" t="s">
        <v>76</v>
      </c>
    </row>
    <row r="15" spans="1:5" ht="25.4" customHeight="1">
      <c r="A15" s="3" t="s">
        <v>18</v>
      </c>
      <c r="B15" s="4" t="s">
        <v>74</v>
      </c>
      <c r="C15" s="4" t="s">
        <v>75</v>
      </c>
      <c r="D15" s="4" t="s">
        <v>11</v>
      </c>
      <c r="E15" s="5" t="s">
        <v>76</v>
      </c>
    </row>
    <row r="16" spans="1:5" ht="25.4" customHeight="1">
      <c r="A16" s="3" t="s">
        <v>18</v>
      </c>
      <c r="B16" s="4" t="s">
        <v>79</v>
      </c>
      <c r="C16" s="4"/>
      <c r="D16" s="4" t="s">
        <v>11</v>
      </c>
      <c r="E16" s="5" t="s">
        <v>76</v>
      </c>
    </row>
    <row r="17" spans="1:5" ht="25.4" customHeight="1">
      <c r="A17" s="3" t="s">
        <v>18</v>
      </c>
      <c r="B17" s="4" t="s">
        <v>78</v>
      </c>
      <c r="C17" s="4"/>
      <c r="D17" s="4" t="s">
        <v>11</v>
      </c>
      <c r="E17" s="5" t="s">
        <v>76</v>
      </c>
    </row>
    <row r="18" spans="1:5" ht="25.4" customHeight="1">
      <c r="A18" s="3" t="s">
        <v>18</v>
      </c>
      <c r="B18" s="4" t="s">
        <v>78</v>
      </c>
      <c r="C18" s="4"/>
      <c r="D18" s="4" t="s">
        <v>11</v>
      </c>
      <c r="E18" s="5" t="s">
        <v>76</v>
      </c>
    </row>
    <row r="19" spans="1:5" ht="25.4" customHeight="1">
      <c r="A19" s="3" t="s">
        <v>18</v>
      </c>
      <c r="B19" s="4" t="s">
        <v>78</v>
      </c>
      <c r="C19" s="4"/>
      <c r="D19" s="4" t="s">
        <v>16</v>
      </c>
      <c r="E19" s="5" t="s">
        <v>76</v>
      </c>
    </row>
    <row r="20" spans="1:5" ht="25.4" customHeight="1">
      <c r="A20" s="3" t="s">
        <v>19</v>
      </c>
      <c r="B20" s="4" t="s">
        <v>74</v>
      </c>
      <c r="C20" s="4" t="s">
        <v>75</v>
      </c>
      <c r="D20" s="4" t="s">
        <v>11</v>
      </c>
      <c r="E20" s="5" t="s">
        <v>76</v>
      </c>
    </row>
    <row r="21" spans="1:5" ht="25.4" customHeight="1">
      <c r="A21" s="3" t="s">
        <v>19</v>
      </c>
      <c r="B21" s="4" t="s">
        <v>80</v>
      </c>
      <c r="C21" s="4" t="s">
        <v>81</v>
      </c>
      <c r="D21" s="4" t="s">
        <v>20</v>
      </c>
      <c r="E21" s="5" t="s">
        <v>76</v>
      </c>
    </row>
    <row r="22" spans="1:5" ht="25.4" customHeight="1">
      <c r="A22" s="3" t="s">
        <v>19</v>
      </c>
      <c r="B22" s="4" t="s">
        <v>82</v>
      </c>
      <c r="C22" s="4"/>
      <c r="D22" s="4" t="s">
        <v>16</v>
      </c>
      <c r="E22" s="5" t="s">
        <v>76</v>
      </c>
    </row>
    <row r="23" spans="1:5" ht="25.4" customHeight="1">
      <c r="A23" s="3" t="s">
        <v>19</v>
      </c>
      <c r="B23" s="4" t="s">
        <v>78</v>
      </c>
      <c r="C23" s="4"/>
      <c r="D23" s="4" t="s">
        <v>11</v>
      </c>
      <c r="E23" s="5" t="s">
        <v>76</v>
      </c>
    </row>
    <row r="24" spans="1:5" ht="25.4" customHeight="1">
      <c r="A24" s="3" t="s">
        <v>19</v>
      </c>
      <c r="B24" s="4" t="s">
        <v>78</v>
      </c>
      <c r="C24" s="4"/>
      <c r="D24" s="4" t="s">
        <v>11</v>
      </c>
      <c r="E24" s="5" t="s">
        <v>76</v>
      </c>
    </row>
    <row r="25" spans="1:5" ht="25.4" customHeight="1">
      <c r="A25" s="3" t="s">
        <v>19</v>
      </c>
      <c r="B25" s="4" t="s">
        <v>77</v>
      </c>
      <c r="C25" s="4"/>
      <c r="D25" s="4" t="s">
        <v>11</v>
      </c>
      <c r="E25" s="5" t="s">
        <v>76</v>
      </c>
    </row>
    <row r="26" spans="1:5" ht="25.4" customHeight="1">
      <c r="A26" s="3" t="s">
        <v>19</v>
      </c>
      <c r="B26" s="4" t="s">
        <v>78</v>
      </c>
      <c r="C26" s="4"/>
      <c r="D26" s="4" t="s">
        <v>11</v>
      </c>
      <c r="E26" s="5" t="s">
        <v>76</v>
      </c>
    </row>
    <row r="27" spans="1:5" ht="25.4" customHeight="1">
      <c r="A27" s="3" t="s">
        <v>19</v>
      </c>
      <c r="B27" s="4" t="s">
        <v>78</v>
      </c>
      <c r="C27" s="4"/>
      <c r="D27" s="4" t="s">
        <v>11</v>
      </c>
      <c r="E27" s="5" t="s">
        <v>76</v>
      </c>
    </row>
    <row r="28" spans="1:5" ht="25.4" customHeight="1">
      <c r="A28" s="3" t="s">
        <v>19</v>
      </c>
      <c r="B28" s="4" t="s">
        <v>78</v>
      </c>
      <c r="C28" s="4"/>
      <c r="D28" s="4" t="s">
        <v>11</v>
      </c>
      <c r="E28" s="5" t="s">
        <v>76</v>
      </c>
    </row>
    <row r="29" spans="1:5" ht="25.4" customHeight="1">
      <c r="A29" s="3" t="s">
        <v>19</v>
      </c>
      <c r="B29" s="4" t="s">
        <v>78</v>
      </c>
      <c r="C29" s="4"/>
      <c r="D29" s="4" t="s">
        <v>11</v>
      </c>
      <c r="E29" s="5" t="s">
        <v>76</v>
      </c>
    </row>
    <row r="30" spans="1:5" ht="25.4" customHeight="1">
      <c r="A30" s="3" t="s">
        <v>22</v>
      </c>
      <c r="B30" s="4" t="s">
        <v>78</v>
      </c>
      <c r="C30" s="4"/>
      <c r="D30" s="4" t="s">
        <v>11</v>
      </c>
      <c r="E30" s="5" t="s">
        <v>76</v>
      </c>
    </row>
    <row r="31" spans="1:5" ht="25.4" customHeight="1">
      <c r="A31" s="3" t="s">
        <v>22</v>
      </c>
      <c r="B31" s="4" t="s">
        <v>78</v>
      </c>
      <c r="C31" s="4"/>
      <c r="D31" s="4" t="s">
        <v>11</v>
      </c>
      <c r="E31" s="5" t="s">
        <v>76</v>
      </c>
    </row>
    <row r="32" spans="1:5" ht="25.4" customHeight="1">
      <c r="A32" s="3" t="s">
        <v>22</v>
      </c>
      <c r="B32" s="4" t="s">
        <v>79</v>
      </c>
      <c r="C32" s="4"/>
      <c r="D32" s="4" t="s">
        <v>16</v>
      </c>
      <c r="E32" s="5" t="s">
        <v>76</v>
      </c>
    </row>
    <row r="33" spans="1:5" ht="25.4" customHeight="1">
      <c r="A33" s="3" t="s">
        <v>22</v>
      </c>
      <c r="B33" s="4" t="s">
        <v>83</v>
      </c>
      <c r="C33" s="4"/>
      <c r="D33" s="4" t="s">
        <v>16</v>
      </c>
      <c r="E33" s="5" t="s">
        <v>76</v>
      </c>
    </row>
    <row r="34" spans="1:5" ht="25.4" customHeight="1">
      <c r="A34" s="3" t="s">
        <v>23</v>
      </c>
      <c r="B34" s="4" t="s">
        <v>74</v>
      </c>
      <c r="C34" s="4" t="s">
        <v>75</v>
      </c>
      <c r="D34" s="4" t="s">
        <v>11</v>
      </c>
      <c r="E34" s="5" t="s">
        <v>76</v>
      </c>
    </row>
    <row r="35" spans="1:5" ht="25.4" customHeight="1">
      <c r="A35" s="3" t="s">
        <v>23</v>
      </c>
      <c r="B35" s="4" t="s">
        <v>78</v>
      </c>
      <c r="C35" s="4"/>
      <c r="D35" s="4" t="s">
        <v>11</v>
      </c>
      <c r="E35" s="5" t="s">
        <v>76</v>
      </c>
    </row>
    <row r="36" spans="1:5" ht="25.4" customHeight="1">
      <c r="A36" s="3" t="s">
        <v>23</v>
      </c>
      <c r="B36" s="4" t="s">
        <v>78</v>
      </c>
      <c r="C36" s="4"/>
      <c r="D36" s="4" t="s">
        <v>11</v>
      </c>
      <c r="E36" s="5" t="s">
        <v>76</v>
      </c>
    </row>
    <row r="37" spans="1:5" ht="25.4" customHeight="1">
      <c r="A37" s="3" t="s">
        <v>24</v>
      </c>
      <c r="B37" s="4" t="s">
        <v>80</v>
      </c>
      <c r="C37" s="4" t="s">
        <v>81</v>
      </c>
      <c r="D37" s="4" t="s">
        <v>20</v>
      </c>
      <c r="E37" s="5" t="s">
        <v>76</v>
      </c>
    </row>
    <row r="38" spans="1:5" ht="25.4" customHeight="1">
      <c r="A38" s="3" t="s">
        <v>24</v>
      </c>
      <c r="B38" s="4" t="s">
        <v>78</v>
      </c>
      <c r="C38" s="4"/>
      <c r="D38" s="4" t="s">
        <v>11</v>
      </c>
      <c r="E38" s="5" t="s">
        <v>76</v>
      </c>
    </row>
    <row r="39" spans="1:5" ht="25.4" customHeight="1">
      <c r="A39" s="3" t="s">
        <v>24</v>
      </c>
      <c r="B39" s="4" t="s">
        <v>82</v>
      </c>
      <c r="C39" s="4"/>
      <c r="D39" s="4" t="s">
        <v>20</v>
      </c>
      <c r="E39" s="5" t="s">
        <v>76</v>
      </c>
    </row>
    <row r="40" spans="1:5" ht="25.4" customHeight="1">
      <c r="A40" s="3" t="s">
        <v>25</v>
      </c>
      <c r="B40" s="4" t="s">
        <v>74</v>
      </c>
      <c r="C40" s="4" t="s">
        <v>75</v>
      </c>
      <c r="D40" s="4" t="s">
        <v>11</v>
      </c>
      <c r="E40" s="5" t="s">
        <v>76</v>
      </c>
    </row>
    <row r="41" spans="1:5" ht="25.4" customHeight="1">
      <c r="A41" s="3" t="s">
        <v>25</v>
      </c>
      <c r="B41" s="4" t="s">
        <v>80</v>
      </c>
      <c r="C41" s="4" t="s">
        <v>81</v>
      </c>
      <c r="D41" s="4" t="s">
        <v>20</v>
      </c>
      <c r="E41" s="5" t="s">
        <v>76</v>
      </c>
    </row>
    <row r="42" spans="1:5" ht="25.4" customHeight="1">
      <c r="A42" s="3" t="s">
        <v>25</v>
      </c>
      <c r="B42" s="4" t="s">
        <v>77</v>
      </c>
      <c r="C42" s="4"/>
      <c r="D42" s="4" t="s">
        <v>16</v>
      </c>
      <c r="E42" s="5" t="s">
        <v>76</v>
      </c>
    </row>
    <row r="43" spans="1:5" ht="25.4" customHeight="1">
      <c r="A43" s="3" t="s">
        <v>25</v>
      </c>
      <c r="B43" s="4" t="s">
        <v>78</v>
      </c>
      <c r="C43" s="4"/>
      <c r="D43" s="4" t="s">
        <v>11</v>
      </c>
      <c r="E43" s="5" t="s">
        <v>76</v>
      </c>
    </row>
    <row r="44" spans="1:5" ht="25.4" customHeight="1">
      <c r="A44" s="3" t="s">
        <v>25</v>
      </c>
      <c r="B44" s="4" t="s">
        <v>78</v>
      </c>
      <c r="C44" s="4"/>
      <c r="D44" s="4" t="s">
        <v>16</v>
      </c>
      <c r="E44" s="5" t="s">
        <v>76</v>
      </c>
    </row>
    <row r="45" spans="1:5" ht="25.4" customHeight="1">
      <c r="A45" s="3" t="s">
        <v>25</v>
      </c>
      <c r="B45" s="4" t="s">
        <v>78</v>
      </c>
      <c r="C45" s="4"/>
      <c r="D45" s="4" t="s">
        <v>11</v>
      </c>
      <c r="E45" s="5" t="s">
        <v>76</v>
      </c>
    </row>
    <row r="46" spans="1:5" ht="25.4" customHeight="1">
      <c r="A46" s="3" t="s">
        <v>25</v>
      </c>
      <c r="B46" s="4" t="s">
        <v>78</v>
      </c>
      <c r="C46" s="4"/>
      <c r="D46" s="4" t="s">
        <v>11</v>
      </c>
      <c r="E46" s="5" t="s">
        <v>76</v>
      </c>
    </row>
    <row r="47" spans="1:5" ht="25.4" customHeight="1">
      <c r="A47" s="3" t="s">
        <v>25</v>
      </c>
      <c r="B47" s="4" t="s">
        <v>77</v>
      </c>
      <c r="C47" s="4"/>
      <c r="D47" s="4" t="s">
        <v>16</v>
      </c>
      <c r="E47" s="5" t="s">
        <v>76</v>
      </c>
    </row>
    <row r="48" spans="1:5" ht="25.4" customHeight="1">
      <c r="A48" s="3" t="s">
        <v>25</v>
      </c>
      <c r="B48" s="4" t="s">
        <v>77</v>
      </c>
      <c r="C48" s="4"/>
      <c r="D48" s="4" t="s">
        <v>11</v>
      </c>
      <c r="E48" s="5" t="s">
        <v>76</v>
      </c>
    </row>
    <row r="49" spans="1:5" ht="25.4" customHeight="1">
      <c r="A49" s="3" t="s">
        <v>26</v>
      </c>
      <c r="B49" s="4" t="s">
        <v>74</v>
      </c>
      <c r="C49" s="4" t="s">
        <v>75</v>
      </c>
      <c r="D49" s="4" t="s">
        <v>11</v>
      </c>
      <c r="E49" s="5" t="s">
        <v>76</v>
      </c>
    </row>
    <row r="50" spans="1:5" ht="25.4" customHeight="1">
      <c r="A50" s="3" t="s">
        <v>26</v>
      </c>
      <c r="B50" s="4" t="s">
        <v>80</v>
      </c>
      <c r="C50" s="4" t="s">
        <v>81</v>
      </c>
      <c r="D50" s="4" t="s">
        <v>20</v>
      </c>
      <c r="E50" s="5" t="s">
        <v>76</v>
      </c>
    </row>
    <row r="51" spans="1:5" ht="25.4" customHeight="1">
      <c r="A51" s="3" t="s">
        <v>26</v>
      </c>
      <c r="B51" s="4" t="s">
        <v>79</v>
      </c>
      <c r="C51" s="4"/>
      <c r="D51" s="4" t="s">
        <v>20</v>
      </c>
      <c r="E51" s="5" t="s">
        <v>76</v>
      </c>
    </row>
    <row r="52" spans="1:5" ht="25.4" customHeight="1">
      <c r="A52" s="3" t="s">
        <v>26</v>
      </c>
      <c r="B52" s="4" t="s">
        <v>78</v>
      </c>
      <c r="C52" s="4"/>
      <c r="D52" s="4" t="s">
        <v>11</v>
      </c>
      <c r="E52" s="5" t="s">
        <v>76</v>
      </c>
    </row>
    <row r="53" spans="1:5" ht="25.4" customHeight="1">
      <c r="A53" s="3" t="s">
        <v>27</v>
      </c>
      <c r="B53" s="4" t="s">
        <v>74</v>
      </c>
      <c r="C53" s="4" t="s">
        <v>75</v>
      </c>
      <c r="D53" s="4" t="s">
        <v>11</v>
      </c>
      <c r="E53" s="5" t="s">
        <v>76</v>
      </c>
    </row>
    <row r="54" spans="1:5" ht="25.4" customHeight="1">
      <c r="A54" s="3" t="s">
        <v>27</v>
      </c>
      <c r="B54" s="4" t="s">
        <v>80</v>
      </c>
      <c r="C54" s="4" t="s">
        <v>81</v>
      </c>
      <c r="D54" s="4" t="s">
        <v>20</v>
      </c>
      <c r="E54" s="5" t="s">
        <v>76</v>
      </c>
    </row>
    <row r="55" spans="1:5" ht="25.4" customHeight="1">
      <c r="A55" s="3" t="s">
        <v>27</v>
      </c>
      <c r="B55" s="4" t="s">
        <v>78</v>
      </c>
      <c r="C55" s="4"/>
      <c r="D55" s="4" t="s">
        <v>11</v>
      </c>
      <c r="E55" s="5" t="s">
        <v>76</v>
      </c>
    </row>
    <row r="56" spans="1:5" ht="25.4" customHeight="1">
      <c r="A56" s="3" t="s">
        <v>27</v>
      </c>
      <c r="B56" s="4" t="s">
        <v>78</v>
      </c>
      <c r="C56" s="4"/>
      <c r="D56" s="4" t="s">
        <v>11</v>
      </c>
      <c r="E56" s="5" t="s">
        <v>76</v>
      </c>
    </row>
    <row r="57" spans="1:5" ht="25.4" customHeight="1">
      <c r="A57" s="3" t="s">
        <v>27</v>
      </c>
      <c r="B57" s="4" t="s">
        <v>78</v>
      </c>
      <c r="C57" s="4"/>
      <c r="D57" s="4" t="s">
        <v>11</v>
      </c>
      <c r="E57" s="5" t="s">
        <v>76</v>
      </c>
    </row>
    <row r="58" spans="1:5" ht="25.4" customHeight="1">
      <c r="A58" s="3" t="s">
        <v>27</v>
      </c>
      <c r="B58" s="4" t="s">
        <v>82</v>
      </c>
      <c r="C58" s="4"/>
      <c r="D58" s="4" t="s">
        <v>20</v>
      </c>
      <c r="E58" s="5" t="s">
        <v>76</v>
      </c>
    </row>
    <row r="59" spans="1:5" ht="25.4" customHeight="1">
      <c r="A59" s="3" t="s">
        <v>27</v>
      </c>
      <c r="B59" s="4" t="s">
        <v>78</v>
      </c>
      <c r="C59" s="4"/>
      <c r="D59" s="4" t="s">
        <v>11</v>
      </c>
      <c r="E59" s="5" t="s">
        <v>76</v>
      </c>
    </row>
    <row r="60" spans="1:5" ht="25.4" customHeight="1">
      <c r="A60" s="3" t="s">
        <v>27</v>
      </c>
      <c r="B60" s="4" t="s">
        <v>77</v>
      </c>
      <c r="C60" s="4"/>
      <c r="D60" s="4" t="s">
        <v>11</v>
      </c>
      <c r="E60" s="5" t="s">
        <v>76</v>
      </c>
    </row>
    <row r="61" spans="1:5" ht="25.4" customHeight="1">
      <c r="A61" s="3" t="s">
        <v>27</v>
      </c>
      <c r="B61" s="4" t="s">
        <v>78</v>
      </c>
      <c r="C61" s="4"/>
      <c r="D61" s="4" t="s">
        <v>11</v>
      </c>
      <c r="E61" s="5" t="s">
        <v>76</v>
      </c>
    </row>
    <row r="62" spans="1:5" ht="25.4" customHeight="1">
      <c r="A62" s="3" t="s">
        <v>27</v>
      </c>
      <c r="B62" s="4" t="s">
        <v>78</v>
      </c>
      <c r="C62" s="4"/>
      <c r="D62" s="4" t="s">
        <v>11</v>
      </c>
      <c r="E62" s="5" t="s">
        <v>76</v>
      </c>
    </row>
    <row r="63" spans="1:5" ht="25.4" customHeight="1">
      <c r="A63" s="3" t="s">
        <v>27</v>
      </c>
      <c r="B63" s="4" t="s">
        <v>78</v>
      </c>
      <c r="C63" s="4"/>
      <c r="D63" s="4" t="s">
        <v>11</v>
      </c>
      <c r="E63" s="5" t="s">
        <v>76</v>
      </c>
    </row>
    <row r="64" spans="1:5" ht="25.4" customHeight="1">
      <c r="A64" s="3" t="s">
        <v>27</v>
      </c>
      <c r="B64" s="4" t="s">
        <v>78</v>
      </c>
      <c r="C64" s="4"/>
      <c r="D64" s="4" t="s">
        <v>16</v>
      </c>
      <c r="E64" s="5" t="s">
        <v>76</v>
      </c>
    </row>
    <row r="65" spans="1:5" ht="25.4" customHeight="1">
      <c r="A65" s="3" t="s">
        <v>29</v>
      </c>
      <c r="B65" s="4" t="s">
        <v>74</v>
      </c>
      <c r="C65" s="4" t="s">
        <v>75</v>
      </c>
      <c r="D65" s="4" t="s">
        <v>11</v>
      </c>
      <c r="E65" s="5" t="s">
        <v>76</v>
      </c>
    </row>
    <row r="66" spans="1:5" ht="25.4" customHeight="1">
      <c r="A66" s="3" t="s">
        <v>29</v>
      </c>
      <c r="B66" s="4" t="s">
        <v>79</v>
      </c>
      <c r="C66" s="4"/>
      <c r="D66" s="4" t="s">
        <v>11</v>
      </c>
      <c r="E66" s="5" t="s">
        <v>76</v>
      </c>
    </row>
    <row r="67" spans="1:5" ht="25.4" customHeight="1">
      <c r="A67" s="3" t="s">
        <v>29</v>
      </c>
      <c r="B67" s="4" t="s">
        <v>78</v>
      </c>
      <c r="C67" s="4"/>
      <c r="D67" s="4" t="s">
        <v>11</v>
      </c>
      <c r="E67" s="5" t="s">
        <v>76</v>
      </c>
    </row>
    <row r="68" spans="1:5" ht="25.4" customHeight="1">
      <c r="A68" s="3" t="s">
        <v>29</v>
      </c>
      <c r="B68" s="4" t="s">
        <v>78</v>
      </c>
      <c r="C68" s="4"/>
      <c r="D68" s="4" t="s">
        <v>11</v>
      </c>
      <c r="E68" s="5" t="s">
        <v>76</v>
      </c>
    </row>
    <row r="69" spans="1:5" ht="25.4" customHeight="1">
      <c r="A69" s="3" t="s">
        <v>29</v>
      </c>
      <c r="B69" s="4" t="s">
        <v>78</v>
      </c>
      <c r="C69" s="4"/>
      <c r="D69" s="4" t="s">
        <v>11</v>
      </c>
      <c r="E69" s="5" t="s">
        <v>76</v>
      </c>
    </row>
    <row r="70" spans="1:5" ht="25.4" customHeight="1">
      <c r="A70" s="3" t="s">
        <v>29</v>
      </c>
      <c r="B70" s="4" t="s">
        <v>78</v>
      </c>
      <c r="C70" s="4"/>
      <c r="D70" s="4" t="s">
        <v>16</v>
      </c>
      <c r="E70" s="5" t="s">
        <v>76</v>
      </c>
    </row>
  </sheetData>
  <conditionalFormatting sqref="D2">
    <cfRule type="expression" dxfId="19" priority="6">
      <formula>D2="LOW"</formula>
    </cfRule>
    <cfRule type="expression" dxfId="18" priority="7">
      <formula>D2="MEDIUM"</formula>
    </cfRule>
    <cfRule type="expression" dxfId="17" priority="8">
      <formula>D2="HIGH"</formula>
    </cfRule>
    <cfRule type="expression" dxfId="16" priority="9">
      <formula>D2="CRITICAL"</formula>
    </cfRule>
  </conditionalFormatting>
  <conditionalFormatting sqref="A2:E70">
    <cfRule type="expression" dxfId="15" priority="10">
      <formula>MOD(ROW(),2)=0</formula>
    </cfRule>
  </conditionalFormatting>
  <conditionalFormatting sqref="D3:D70">
    <cfRule type="expression" dxfId="14" priority="1">
      <formula>D3="LOW"</formula>
    </cfRule>
    <cfRule type="expression" dxfId="13" priority="2">
      <formula>D3="MEDIUM"</formula>
    </cfRule>
    <cfRule type="expression" dxfId="12" priority="3">
      <formula>D3="HIGH"</formula>
    </cfRule>
    <cfRule type="expression" dxfId="11" priority="4">
      <formula>D3="CRITICAL"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699"/>
  <sheetViews>
    <sheetView topLeftCell="A78" zoomScale="85" zoomScaleNormal="85" workbookViewId="0">
      <selection activeCell="R1" activeCellId="8" sqref="J1:J1048576 K1:K1048576 L1:L1048576 M1:M1048576 N1:N1048576 O1:O1048576 P1:P1048576 Q1:Q1048576 R1:R1048576"/>
    </sheetView>
  </sheetViews>
  <sheetFormatPr defaultRowHeight="14.5"/>
  <cols>
    <col min="1" max="1" width="42" customWidth="1"/>
    <col min="2" max="2" width="14" customWidth="1"/>
    <col min="3" max="3" width="30" customWidth="1"/>
    <col min="4" max="4" width="28" customWidth="1"/>
    <col min="5" max="5" width="18" customWidth="1"/>
    <col min="6" max="6" width="14" customWidth="1"/>
    <col min="7" max="7" width="16" customWidth="1"/>
    <col min="8" max="8" width="14" customWidth="1"/>
    <col min="9" max="9" width="13" customWidth="1"/>
    <col min="10" max="10" width="16" hidden="1" customWidth="1"/>
    <col min="11" max="12" width="18" hidden="1" customWidth="1"/>
    <col min="13" max="16" width="16" hidden="1" customWidth="1"/>
    <col min="17" max="17" width="46" hidden="1" customWidth="1"/>
    <col min="18" max="18" width="52" hidden="1" customWidth="1"/>
    <col min="19" max="21" width="3" customWidth="1"/>
  </cols>
  <sheetData>
    <row r="1" spans="1:45" ht="36" customHeight="1">
      <c r="A1" s="13" t="s">
        <v>0</v>
      </c>
      <c r="B1" s="13" t="s">
        <v>85</v>
      </c>
      <c r="C1" s="13" t="s">
        <v>86</v>
      </c>
      <c r="D1" s="13" t="s">
        <v>87</v>
      </c>
      <c r="E1" s="13" t="s">
        <v>88</v>
      </c>
      <c r="F1" s="13" t="s">
        <v>89</v>
      </c>
      <c r="G1" s="13" t="s">
        <v>90</v>
      </c>
      <c r="H1" s="13" t="s">
        <v>91</v>
      </c>
      <c r="I1" s="13" t="s">
        <v>93</v>
      </c>
      <c r="J1" s="13" t="s">
        <v>94</v>
      </c>
      <c r="K1" s="13" t="s">
        <v>95</v>
      </c>
      <c r="L1" s="13" t="s">
        <v>96</v>
      </c>
      <c r="M1" s="13" t="s">
        <v>97</v>
      </c>
      <c r="N1" s="13" t="s">
        <v>98</v>
      </c>
      <c r="O1" s="13" t="s">
        <v>99</v>
      </c>
      <c r="P1" s="13" t="s">
        <v>100</v>
      </c>
      <c r="Q1" s="13" t="s">
        <v>101</v>
      </c>
      <c r="R1" s="13" t="s">
        <v>102</v>
      </c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</row>
    <row r="2" spans="1:45" ht="44" customHeight="1">
      <c r="A2" s="22" t="s">
        <v>10</v>
      </c>
      <c r="B2" s="23" t="s">
        <v>103</v>
      </c>
      <c r="C2" s="22" t="s">
        <v>104</v>
      </c>
      <c r="D2" s="22" t="s">
        <v>105</v>
      </c>
      <c r="E2" s="23" t="s">
        <v>106</v>
      </c>
      <c r="F2" s="23">
        <v>7258</v>
      </c>
      <c r="G2" s="23">
        <v>150</v>
      </c>
      <c r="H2" s="23">
        <v>0</v>
      </c>
      <c r="I2" s="23">
        <v>7408</v>
      </c>
      <c r="J2" s="23">
        <v>0.25</v>
      </c>
      <c r="K2" s="23">
        <v>2.5000000000000001E-2</v>
      </c>
      <c r="L2" s="23">
        <v>0</v>
      </c>
      <c r="M2" s="23">
        <v>1.5</v>
      </c>
      <c r="N2" s="24" t="e">
        <f>MAX(0,F2-H2-#REF!)*J2/1000000 + H2*K2/1000000 +#REF!* L2/1000000</f>
        <v>#REF!</v>
      </c>
      <c r="O2" s="24">
        <f t="shared" ref="O2:O33" si="0">G2*M2/1000000</f>
        <v>2.2499999999999999E-4</v>
      </c>
      <c r="P2" s="24" t="e">
        <f t="shared" ref="P2:P33" si="1">N2+O2</f>
        <v>#REF!</v>
      </c>
      <c r="Q2" s="22" t="s">
        <v>107</v>
      </c>
      <c r="R2" s="22" t="s">
        <v>108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</row>
    <row r="3" spans="1:45" ht="44" customHeight="1">
      <c r="A3" s="25" t="s">
        <v>10</v>
      </c>
      <c r="B3" s="26" t="s">
        <v>103</v>
      </c>
      <c r="C3" s="25" t="s">
        <v>104</v>
      </c>
      <c r="D3" s="25" t="s">
        <v>109</v>
      </c>
      <c r="E3" s="26" t="s">
        <v>106</v>
      </c>
      <c r="F3" s="26">
        <v>1212</v>
      </c>
      <c r="G3" s="26">
        <v>5</v>
      </c>
      <c r="H3" s="26">
        <v>0</v>
      </c>
      <c r="I3" s="26">
        <v>1217</v>
      </c>
      <c r="J3" s="26">
        <v>0.25</v>
      </c>
      <c r="K3" s="26">
        <v>2.5000000000000001E-2</v>
      </c>
      <c r="L3" s="26">
        <v>0</v>
      </c>
      <c r="M3" s="26">
        <v>1.5</v>
      </c>
      <c r="N3" s="27" t="e">
        <f>MAX(0,F3-H3-#REF!)*J3/1000000 + H3*K3/1000000 +#REF!* L3/1000000</f>
        <v>#REF!</v>
      </c>
      <c r="O3" s="27">
        <f t="shared" si="0"/>
        <v>7.5000000000000002E-6</v>
      </c>
      <c r="P3" s="27" t="e">
        <f t="shared" si="1"/>
        <v>#REF!</v>
      </c>
      <c r="Q3" s="25" t="s">
        <v>107</v>
      </c>
      <c r="R3" s="25" t="s">
        <v>108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</row>
    <row r="4" spans="1:45" ht="44" customHeight="1">
      <c r="A4" s="22" t="s">
        <v>10</v>
      </c>
      <c r="B4" s="23" t="s">
        <v>103</v>
      </c>
      <c r="C4" s="22" t="s">
        <v>104</v>
      </c>
      <c r="D4" s="22" t="s">
        <v>109</v>
      </c>
      <c r="E4" s="23" t="s">
        <v>106</v>
      </c>
      <c r="F4" s="23">
        <v>1568</v>
      </c>
      <c r="G4" s="23">
        <v>9</v>
      </c>
      <c r="H4" s="23">
        <v>0</v>
      </c>
      <c r="I4" s="23">
        <v>1577</v>
      </c>
      <c r="J4" s="23">
        <v>0.25</v>
      </c>
      <c r="K4" s="23">
        <v>2.5000000000000001E-2</v>
      </c>
      <c r="L4" s="23">
        <v>0</v>
      </c>
      <c r="M4" s="23">
        <v>1.5</v>
      </c>
      <c r="N4" s="24" t="e">
        <f>MAX(0,F4-H4-#REF!)*J4/1000000 + H4*K4/1000000 +#REF!* L4/1000000</f>
        <v>#REF!</v>
      </c>
      <c r="O4" s="24">
        <f t="shared" si="0"/>
        <v>1.3499999999999999E-5</v>
      </c>
      <c r="P4" s="24" t="e">
        <f t="shared" si="1"/>
        <v>#REF!</v>
      </c>
      <c r="Q4" s="22" t="s">
        <v>107</v>
      </c>
      <c r="R4" s="22" t="s">
        <v>108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</row>
    <row r="5" spans="1:45" ht="44" customHeight="1">
      <c r="A5" s="25" t="s">
        <v>10</v>
      </c>
      <c r="B5" s="26" t="s">
        <v>103</v>
      </c>
      <c r="C5" s="25" t="s">
        <v>104</v>
      </c>
      <c r="D5" s="25" t="s">
        <v>109</v>
      </c>
      <c r="E5" s="26" t="s">
        <v>106</v>
      </c>
      <c r="F5" s="26">
        <v>3004</v>
      </c>
      <c r="G5" s="26">
        <v>9</v>
      </c>
      <c r="H5" s="26">
        <v>0</v>
      </c>
      <c r="I5" s="26">
        <v>3013</v>
      </c>
      <c r="J5" s="26">
        <v>0.25</v>
      </c>
      <c r="K5" s="26">
        <v>2.5000000000000001E-2</v>
      </c>
      <c r="L5" s="26">
        <v>0</v>
      </c>
      <c r="M5" s="26">
        <v>1.5</v>
      </c>
      <c r="N5" s="27" t="e">
        <f>MAX(0,F5-H5-#REF!)*J5/1000000 + H5*K5/1000000 +#REF!* L5/1000000</f>
        <v>#REF!</v>
      </c>
      <c r="O5" s="27">
        <f t="shared" si="0"/>
        <v>1.3499999999999999E-5</v>
      </c>
      <c r="P5" s="27" t="e">
        <f t="shared" si="1"/>
        <v>#REF!</v>
      </c>
      <c r="Q5" s="25" t="s">
        <v>107</v>
      </c>
      <c r="R5" s="25" t="s">
        <v>108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</row>
    <row r="6" spans="1:45" ht="44" customHeight="1">
      <c r="A6" s="22" t="s">
        <v>10</v>
      </c>
      <c r="B6" s="23" t="s">
        <v>103</v>
      </c>
      <c r="C6" s="22" t="s">
        <v>104</v>
      </c>
      <c r="D6" s="22" t="s">
        <v>109</v>
      </c>
      <c r="E6" s="23" t="s">
        <v>106</v>
      </c>
      <c r="F6" s="23">
        <v>1633</v>
      </c>
      <c r="G6" s="23">
        <v>186</v>
      </c>
      <c r="H6" s="23">
        <v>0</v>
      </c>
      <c r="I6" s="23">
        <v>1819</v>
      </c>
      <c r="J6" s="23">
        <v>0.25</v>
      </c>
      <c r="K6" s="23">
        <v>2.5000000000000001E-2</v>
      </c>
      <c r="L6" s="23">
        <v>0</v>
      </c>
      <c r="M6" s="23">
        <v>1.5</v>
      </c>
      <c r="N6" s="24" t="e">
        <f>MAX(0,F6-H6-#REF!)*J6/1000000 + H6*K6/1000000 +#REF!* L6/1000000</f>
        <v>#REF!</v>
      </c>
      <c r="O6" s="24">
        <f t="shared" si="0"/>
        <v>2.7900000000000001E-4</v>
      </c>
      <c r="P6" s="24" t="e">
        <f t="shared" si="1"/>
        <v>#REF!</v>
      </c>
      <c r="Q6" s="22" t="s">
        <v>107</v>
      </c>
      <c r="R6" s="22" t="s">
        <v>108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</row>
    <row r="7" spans="1:45" ht="44" customHeight="1">
      <c r="A7" s="25" t="s">
        <v>10</v>
      </c>
      <c r="B7" s="26" t="s">
        <v>103</v>
      </c>
      <c r="C7" s="25" t="s">
        <v>104</v>
      </c>
      <c r="D7" s="25" t="s">
        <v>109</v>
      </c>
      <c r="E7" s="26" t="s">
        <v>106</v>
      </c>
      <c r="F7" s="26">
        <v>9186</v>
      </c>
      <c r="G7" s="26">
        <v>209</v>
      </c>
      <c r="H7" s="26">
        <v>0</v>
      </c>
      <c r="I7" s="26">
        <v>9395</v>
      </c>
      <c r="J7" s="26">
        <v>0.25</v>
      </c>
      <c r="K7" s="26">
        <v>2.5000000000000001E-2</v>
      </c>
      <c r="L7" s="26">
        <v>0</v>
      </c>
      <c r="M7" s="26">
        <v>1.5</v>
      </c>
      <c r="N7" s="27" t="e">
        <f>MAX(0,F7-H7-#REF!)*J7/1000000 + H7*K7/1000000 +#REF!* L7/1000000</f>
        <v>#REF!</v>
      </c>
      <c r="O7" s="27">
        <f t="shared" si="0"/>
        <v>3.1349999999999998E-4</v>
      </c>
      <c r="P7" s="27" t="e">
        <f t="shared" si="1"/>
        <v>#REF!</v>
      </c>
      <c r="Q7" s="25" t="s">
        <v>107</v>
      </c>
      <c r="R7" s="25" t="s">
        <v>108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</row>
    <row r="8" spans="1:45" ht="44" customHeight="1">
      <c r="A8" s="22" t="s">
        <v>10</v>
      </c>
      <c r="B8" s="23" t="s">
        <v>103</v>
      </c>
      <c r="C8" s="22" t="s">
        <v>104</v>
      </c>
      <c r="D8" s="22" t="s">
        <v>109</v>
      </c>
      <c r="E8" s="23" t="s">
        <v>106</v>
      </c>
      <c r="F8" s="23">
        <v>5181</v>
      </c>
      <c r="G8" s="23">
        <v>224</v>
      </c>
      <c r="H8" s="23">
        <v>0</v>
      </c>
      <c r="I8" s="23">
        <v>5405</v>
      </c>
      <c r="J8" s="23">
        <v>0.25</v>
      </c>
      <c r="K8" s="23">
        <v>2.5000000000000001E-2</v>
      </c>
      <c r="L8" s="23">
        <v>0</v>
      </c>
      <c r="M8" s="23">
        <v>1.5</v>
      </c>
      <c r="N8" s="24" t="e">
        <f>MAX(0,F8-H8-#REF!)*J8/1000000 + H8*K8/1000000 +#REF!* L8/1000000</f>
        <v>#REF!</v>
      </c>
      <c r="O8" s="24">
        <f t="shared" si="0"/>
        <v>3.3599999999999998E-4</v>
      </c>
      <c r="P8" s="24" t="e">
        <f t="shared" si="1"/>
        <v>#REF!</v>
      </c>
      <c r="Q8" s="22" t="s">
        <v>107</v>
      </c>
      <c r="R8" s="22" t="s">
        <v>108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</row>
    <row r="9" spans="1:45" ht="44" customHeight="1">
      <c r="A9" s="25" t="s">
        <v>10</v>
      </c>
      <c r="B9" s="26" t="s">
        <v>103</v>
      </c>
      <c r="C9" s="25" t="s">
        <v>104</v>
      </c>
      <c r="D9" s="25" t="s">
        <v>109</v>
      </c>
      <c r="E9" s="26" t="s">
        <v>106</v>
      </c>
      <c r="F9" s="26">
        <v>2846</v>
      </c>
      <c r="G9" s="26">
        <v>9</v>
      </c>
      <c r="H9" s="26">
        <v>0</v>
      </c>
      <c r="I9" s="26">
        <v>2855</v>
      </c>
      <c r="J9" s="26">
        <v>0.25</v>
      </c>
      <c r="K9" s="26">
        <v>2.5000000000000001E-2</v>
      </c>
      <c r="L9" s="26">
        <v>0</v>
      </c>
      <c r="M9" s="26">
        <v>1.5</v>
      </c>
      <c r="N9" s="27" t="e">
        <f>MAX(0,F9-H9-#REF!)*J9/1000000 + H9*K9/1000000 +#REF!* L9/1000000</f>
        <v>#REF!</v>
      </c>
      <c r="O9" s="27">
        <f t="shared" si="0"/>
        <v>1.3499999999999999E-5</v>
      </c>
      <c r="P9" s="27" t="e">
        <f t="shared" si="1"/>
        <v>#REF!</v>
      </c>
      <c r="Q9" s="25" t="s">
        <v>107</v>
      </c>
      <c r="R9" s="25" t="s">
        <v>108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</row>
    <row r="10" spans="1:45" ht="44" customHeight="1">
      <c r="A10" s="22" t="s">
        <v>10</v>
      </c>
      <c r="B10" s="23" t="s">
        <v>103</v>
      </c>
      <c r="C10" s="22" t="s">
        <v>104</v>
      </c>
      <c r="D10" s="22" t="s">
        <v>110</v>
      </c>
      <c r="E10" s="23" t="s">
        <v>106</v>
      </c>
      <c r="F10" s="23">
        <v>1639</v>
      </c>
      <c r="G10" s="23">
        <v>9</v>
      </c>
      <c r="H10" s="23">
        <v>0</v>
      </c>
      <c r="I10" s="23">
        <v>1648</v>
      </c>
      <c r="J10" s="23">
        <v>0.25</v>
      </c>
      <c r="K10" s="23">
        <v>2.5000000000000001E-2</v>
      </c>
      <c r="L10" s="23">
        <v>0</v>
      </c>
      <c r="M10" s="23">
        <v>1.5</v>
      </c>
      <c r="N10" s="24" t="e">
        <f>MAX(0,F10-H10-#REF!)*J10/1000000 + H10*K10/1000000 +#REF!* L10/1000000</f>
        <v>#REF!</v>
      </c>
      <c r="O10" s="24">
        <f t="shared" si="0"/>
        <v>1.3499999999999999E-5</v>
      </c>
      <c r="P10" s="24" t="e">
        <f t="shared" si="1"/>
        <v>#REF!</v>
      </c>
      <c r="Q10" s="22" t="s">
        <v>107</v>
      </c>
      <c r="R10" s="22" t="s">
        <v>108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5" ht="44" customHeight="1">
      <c r="A11" s="25" t="s">
        <v>10</v>
      </c>
      <c r="B11" s="26" t="s">
        <v>103</v>
      </c>
      <c r="C11" s="25" t="s">
        <v>104</v>
      </c>
      <c r="D11" s="25" t="s">
        <v>110</v>
      </c>
      <c r="E11" s="26" t="s">
        <v>106</v>
      </c>
      <c r="F11" s="26">
        <v>1532</v>
      </c>
      <c r="G11" s="26">
        <v>5</v>
      </c>
      <c r="H11" s="26">
        <v>0</v>
      </c>
      <c r="I11" s="26">
        <v>1537</v>
      </c>
      <c r="J11" s="26">
        <v>0.25</v>
      </c>
      <c r="K11" s="26">
        <v>2.5000000000000001E-2</v>
      </c>
      <c r="L11" s="26">
        <v>0</v>
      </c>
      <c r="M11" s="26">
        <v>1.5</v>
      </c>
      <c r="N11" s="27" t="e">
        <f>MAX(0,F11-H11-#REF!)*J11/1000000 + H11*K11/1000000 +#REF!* L11/1000000</f>
        <v>#REF!</v>
      </c>
      <c r="O11" s="27">
        <f t="shared" si="0"/>
        <v>7.5000000000000002E-6</v>
      </c>
      <c r="P11" s="27" t="e">
        <f t="shared" si="1"/>
        <v>#REF!</v>
      </c>
      <c r="Q11" s="25" t="s">
        <v>107</v>
      </c>
      <c r="R11" s="25" t="s">
        <v>108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</row>
    <row r="12" spans="1:45" ht="44" customHeight="1">
      <c r="A12" s="22" t="s">
        <v>10</v>
      </c>
      <c r="B12" s="23" t="s">
        <v>103</v>
      </c>
      <c r="C12" s="22" t="s">
        <v>104</v>
      </c>
      <c r="D12" s="22" t="s">
        <v>110</v>
      </c>
      <c r="E12" s="23" t="s">
        <v>106</v>
      </c>
      <c r="F12" s="23">
        <v>1218</v>
      </c>
      <c r="G12" s="23">
        <v>9</v>
      </c>
      <c r="H12" s="23">
        <v>0</v>
      </c>
      <c r="I12" s="23">
        <v>1227</v>
      </c>
      <c r="J12" s="23">
        <v>0.25</v>
      </c>
      <c r="K12" s="23">
        <v>2.5000000000000001E-2</v>
      </c>
      <c r="L12" s="23">
        <v>0</v>
      </c>
      <c r="M12" s="23">
        <v>1.5</v>
      </c>
      <c r="N12" s="24" t="e">
        <f>MAX(0,F12-H12-#REF!)*J12/1000000 + H12*K12/1000000 +#REF!* L12/1000000</f>
        <v>#REF!</v>
      </c>
      <c r="O12" s="24">
        <f t="shared" si="0"/>
        <v>1.3499999999999999E-5</v>
      </c>
      <c r="P12" s="24" t="e">
        <f t="shared" si="1"/>
        <v>#REF!</v>
      </c>
      <c r="Q12" s="22" t="s">
        <v>107</v>
      </c>
      <c r="R12" s="22" t="s">
        <v>108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</row>
    <row r="13" spans="1:45" ht="44" customHeight="1">
      <c r="A13" s="25" t="s">
        <v>10</v>
      </c>
      <c r="B13" s="26" t="s">
        <v>103</v>
      </c>
      <c r="C13" s="25" t="s">
        <v>104</v>
      </c>
      <c r="D13" s="25" t="s">
        <v>110</v>
      </c>
      <c r="E13" s="26" t="s">
        <v>106</v>
      </c>
      <c r="F13" s="26">
        <v>2852</v>
      </c>
      <c r="G13" s="26">
        <v>9</v>
      </c>
      <c r="H13" s="26">
        <v>0</v>
      </c>
      <c r="I13" s="26">
        <v>2861</v>
      </c>
      <c r="J13" s="26">
        <v>0.25</v>
      </c>
      <c r="K13" s="26">
        <v>2.5000000000000001E-2</v>
      </c>
      <c r="L13" s="26">
        <v>0</v>
      </c>
      <c r="M13" s="26">
        <v>1.5</v>
      </c>
      <c r="N13" s="27" t="e">
        <f>MAX(0,F13-H13-#REF!)*J13/1000000 + H13*K13/1000000 +#REF!* L13/1000000</f>
        <v>#REF!</v>
      </c>
      <c r="O13" s="27">
        <f t="shared" si="0"/>
        <v>1.3499999999999999E-5</v>
      </c>
      <c r="P13" s="27" t="e">
        <f t="shared" si="1"/>
        <v>#REF!</v>
      </c>
      <c r="Q13" s="25" t="s">
        <v>107</v>
      </c>
      <c r="R13" s="25" t="s">
        <v>108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</row>
    <row r="14" spans="1:45" ht="44" customHeight="1">
      <c r="A14" s="22" t="s">
        <v>10</v>
      </c>
      <c r="B14" s="23" t="s">
        <v>103</v>
      </c>
      <c r="C14" s="22" t="s">
        <v>104</v>
      </c>
      <c r="D14" s="22" t="s">
        <v>110</v>
      </c>
      <c r="E14" s="23" t="s">
        <v>106</v>
      </c>
      <c r="F14" s="23">
        <v>1574</v>
      </c>
      <c r="G14" s="23">
        <v>9</v>
      </c>
      <c r="H14" s="23">
        <v>0</v>
      </c>
      <c r="I14" s="23">
        <v>1583</v>
      </c>
      <c r="J14" s="23">
        <v>0.25</v>
      </c>
      <c r="K14" s="23">
        <v>2.5000000000000001E-2</v>
      </c>
      <c r="L14" s="23">
        <v>0</v>
      </c>
      <c r="M14" s="23">
        <v>1.5</v>
      </c>
      <c r="N14" s="24" t="e">
        <f>MAX(0,F14-H14-#REF!)*J14/1000000 + H14*K14/1000000 +#REF!* L14/1000000</f>
        <v>#REF!</v>
      </c>
      <c r="O14" s="24">
        <f t="shared" si="0"/>
        <v>1.3499999999999999E-5</v>
      </c>
      <c r="P14" s="24" t="e">
        <f t="shared" si="1"/>
        <v>#REF!</v>
      </c>
      <c r="Q14" s="22" t="s">
        <v>107</v>
      </c>
      <c r="R14" s="22" t="s">
        <v>108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</row>
    <row r="15" spans="1:45" ht="44" customHeight="1">
      <c r="A15" s="25" t="s">
        <v>10</v>
      </c>
      <c r="B15" s="26" t="s">
        <v>103</v>
      </c>
      <c r="C15" s="25" t="s">
        <v>104</v>
      </c>
      <c r="D15" s="25" t="s">
        <v>110</v>
      </c>
      <c r="E15" s="26" t="s">
        <v>106</v>
      </c>
      <c r="F15" s="26">
        <v>9192</v>
      </c>
      <c r="G15" s="26">
        <v>335</v>
      </c>
      <c r="H15" s="26">
        <v>0</v>
      </c>
      <c r="I15" s="26">
        <v>9527</v>
      </c>
      <c r="J15" s="26">
        <v>0.25</v>
      </c>
      <c r="K15" s="26">
        <v>2.5000000000000001E-2</v>
      </c>
      <c r="L15" s="26">
        <v>0</v>
      </c>
      <c r="M15" s="26">
        <v>1.5</v>
      </c>
      <c r="N15" s="27" t="e">
        <f>MAX(0,F15-H15-#REF!)*J15/1000000 + H15*K15/1000000 +#REF!* L15/1000000</f>
        <v>#REF!</v>
      </c>
      <c r="O15" s="27">
        <f t="shared" si="0"/>
        <v>5.0250000000000002E-4</v>
      </c>
      <c r="P15" s="27" t="e">
        <f t="shared" si="1"/>
        <v>#REF!</v>
      </c>
      <c r="Q15" s="25" t="s">
        <v>107</v>
      </c>
      <c r="R15" s="25" t="s">
        <v>108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</row>
    <row r="16" spans="1:45" ht="44" customHeight="1">
      <c r="A16" s="22" t="s">
        <v>10</v>
      </c>
      <c r="B16" s="23" t="s">
        <v>103</v>
      </c>
      <c r="C16" s="22" t="s">
        <v>104</v>
      </c>
      <c r="D16" s="22" t="s">
        <v>110</v>
      </c>
      <c r="E16" s="23" t="s">
        <v>106</v>
      </c>
      <c r="F16" s="23">
        <v>3010</v>
      </c>
      <c r="G16" s="23">
        <v>172</v>
      </c>
      <c r="H16" s="23">
        <v>0</v>
      </c>
      <c r="I16" s="23">
        <v>3182</v>
      </c>
      <c r="J16" s="23">
        <v>0.25</v>
      </c>
      <c r="K16" s="23">
        <v>2.5000000000000001E-2</v>
      </c>
      <c r="L16" s="23">
        <v>0</v>
      </c>
      <c r="M16" s="23">
        <v>1.5</v>
      </c>
      <c r="N16" s="24" t="e">
        <f>MAX(0,F16-H16-#REF!)*J16/1000000 + H16*K16/1000000 +#REF!* L16/1000000</f>
        <v>#REF!</v>
      </c>
      <c r="O16" s="24">
        <f t="shared" si="0"/>
        <v>2.5799999999999998E-4</v>
      </c>
      <c r="P16" s="24" t="e">
        <f t="shared" si="1"/>
        <v>#REF!</v>
      </c>
      <c r="Q16" s="22" t="s">
        <v>107</v>
      </c>
      <c r="R16" s="22" t="s">
        <v>108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</row>
    <row r="17" spans="1:45" ht="44" customHeight="1">
      <c r="A17" s="25" t="s">
        <v>10</v>
      </c>
      <c r="B17" s="26" t="s">
        <v>103</v>
      </c>
      <c r="C17" s="25" t="s">
        <v>104</v>
      </c>
      <c r="D17" s="25" t="s">
        <v>111</v>
      </c>
      <c r="E17" s="26" t="s">
        <v>106</v>
      </c>
      <c r="F17" s="26">
        <v>1026</v>
      </c>
      <c r="G17" s="26">
        <v>9</v>
      </c>
      <c r="H17" s="26">
        <v>0</v>
      </c>
      <c r="I17" s="26">
        <v>1035</v>
      </c>
      <c r="J17" s="26">
        <v>0.25</v>
      </c>
      <c r="K17" s="26">
        <v>2.5000000000000001E-2</v>
      </c>
      <c r="L17" s="26">
        <v>0</v>
      </c>
      <c r="M17" s="26">
        <v>1.5</v>
      </c>
      <c r="N17" s="27" t="e">
        <f>MAX(0,F17-H17-#REF!)*J17/1000000 + H17*K17/1000000 +#REF!* L17/1000000</f>
        <v>#REF!</v>
      </c>
      <c r="O17" s="27">
        <f t="shared" si="0"/>
        <v>1.3499999999999999E-5</v>
      </c>
      <c r="P17" s="27" t="e">
        <f t="shared" si="1"/>
        <v>#REF!</v>
      </c>
      <c r="Q17" s="25" t="s">
        <v>107</v>
      </c>
      <c r="R17" s="25" t="s">
        <v>108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</row>
    <row r="18" spans="1:45" ht="44" customHeight="1">
      <c r="A18" s="22" t="s">
        <v>10</v>
      </c>
      <c r="B18" s="23" t="s">
        <v>103</v>
      </c>
      <c r="C18" s="22" t="s">
        <v>104</v>
      </c>
      <c r="D18" s="22" t="s">
        <v>111</v>
      </c>
      <c r="E18" s="23" t="s">
        <v>106</v>
      </c>
      <c r="F18" s="23">
        <v>2135</v>
      </c>
      <c r="G18" s="23">
        <v>5</v>
      </c>
      <c r="H18" s="23">
        <v>0</v>
      </c>
      <c r="I18" s="23">
        <v>2140</v>
      </c>
      <c r="J18" s="23">
        <v>0.25</v>
      </c>
      <c r="K18" s="23">
        <v>2.5000000000000001E-2</v>
      </c>
      <c r="L18" s="23">
        <v>0</v>
      </c>
      <c r="M18" s="23">
        <v>1.5</v>
      </c>
      <c r="N18" s="24" t="e">
        <f>MAX(0,F18-H18-#REF!)*J18/1000000 + H18*K18/1000000 +#REF!* L18/1000000</f>
        <v>#REF!</v>
      </c>
      <c r="O18" s="24">
        <f t="shared" si="0"/>
        <v>7.5000000000000002E-6</v>
      </c>
      <c r="P18" s="24" t="e">
        <f t="shared" si="1"/>
        <v>#REF!</v>
      </c>
      <c r="Q18" s="22" t="s">
        <v>107</v>
      </c>
      <c r="R18" s="22" t="s">
        <v>108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</row>
    <row r="19" spans="1:45" ht="44" customHeight="1">
      <c r="A19" s="25" t="s">
        <v>10</v>
      </c>
      <c r="B19" s="26" t="s">
        <v>103</v>
      </c>
      <c r="C19" s="25" t="s">
        <v>104</v>
      </c>
      <c r="D19" s="25" t="s">
        <v>111</v>
      </c>
      <c r="E19" s="26" t="s">
        <v>106</v>
      </c>
      <c r="F19" s="26">
        <v>2172</v>
      </c>
      <c r="G19" s="26">
        <v>9</v>
      </c>
      <c r="H19" s="26">
        <v>0</v>
      </c>
      <c r="I19" s="26">
        <v>2181</v>
      </c>
      <c r="J19" s="26">
        <v>0.25</v>
      </c>
      <c r="K19" s="26">
        <v>2.5000000000000001E-2</v>
      </c>
      <c r="L19" s="26">
        <v>0</v>
      </c>
      <c r="M19" s="26">
        <v>1.5</v>
      </c>
      <c r="N19" s="27" t="e">
        <f>MAX(0,F19-H19-#REF!)*J19/1000000 + H19*K19/1000000 +#REF!* L19/1000000</f>
        <v>#REF!</v>
      </c>
      <c r="O19" s="27">
        <f t="shared" si="0"/>
        <v>1.3499999999999999E-5</v>
      </c>
      <c r="P19" s="27" t="e">
        <f t="shared" si="1"/>
        <v>#REF!</v>
      </c>
      <c r="Q19" s="25" t="s">
        <v>107</v>
      </c>
      <c r="R19" s="25" t="s">
        <v>108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</row>
    <row r="20" spans="1:45" ht="44" customHeight="1">
      <c r="A20" s="22" t="s">
        <v>10</v>
      </c>
      <c r="B20" s="23" t="s">
        <v>103</v>
      </c>
      <c r="C20" s="22" t="s">
        <v>104</v>
      </c>
      <c r="D20" s="22" t="s">
        <v>112</v>
      </c>
      <c r="E20" s="23" t="s">
        <v>106</v>
      </c>
      <c r="F20" s="23">
        <v>961</v>
      </c>
      <c r="G20" s="23">
        <v>268</v>
      </c>
      <c r="H20" s="23">
        <v>0</v>
      </c>
      <c r="I20" s="23">
        <v>1229</v>
      </c>
      <c r="J20" s="23">
        <v>0.25</v>
      </c>
      <c r="K20" s="23">
        <v>2.5000000000000001E-2</v>
      </c>
      <c r="L20" s="23">
        <v>0</v>
      </c>
      <c r="M20" s="23">
        <v>1.5</v>
      </c>
      <c r="N20" s="24" t="e">
        <f>MAX(0,F20-H20-#REF!)*J20/1000000 + H20*K20/1000000 +#REF!* L20/1000000</f>
        <v>#REF!</v>
      </c>
      <c r="O20" s="24">
        <f t="shared" si="0"/>
        <v>4.0200000000000001E-4</v>
      </c>
      <c r="P20" s="24" t="e">
        <f t="shared" si="1"/>
        <v>#REF!</v>
      </c>
      <c r="Q20" s="22" t="s">
        <v>107</v>
      </c>
      <c r="R20" s="22" t="s">
        <v>108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</row>
    <row r="21" spans="1:45" ht="44" customHeight="1">
      <c r="A21" s="25" t="s">
        <v>10</v>
      </c>
      <c r="B21" s="26" t="s">
        <v>103</v>
      </c>
      <c r="C21" s="25" t="s">
        <v>104</v>
      </c>
      <c r="D21" s="25" t="s">
        <v>112</v>
      </c>
      <c r="E21" s="26" t="s">
        <v>106</v>
      </c>
      <c r="F21" s="26">
        <v>1931</v>
      </c>
      <c r="G21" s="26">
        <v>298</v>
      </c>
      <c r="H21" s="26">
        <v>0</v>
      </c>
      <c r="I21" s="26">
        <v>2229</v>
      </c>
      <c r="J21" s="26">
        <v>0.25</v>
      </c>
      <c r="K21" s="26">
        <v>2.5000000000000001E-2</v>
      </c>
      <c r="L21" s="26">
        <v>0</v>
      </c>
      <c r="M21" s="26">
        <v>1.5</v>
      </c>
      <c r="N21" s="27" t="e">
        <f>MAX(0,F21-H21-#REF!)*J21/1000000 + H21*K21/1000000 +#REF!* L21/1000000</f>
        <v>#REF!</v>
      </c>
      <c r="O21" s="27">
        <f t="shared" si="0"/>
        <v>4.4700000000000002E-4</v>
      </c>
      <c r="P21" s="27" t="e">
        <f t="shared" si="1"/>
        <v>#REF!</v>
      </c>
      <c r="Q21" s="25" t="s">
        <v>107</v>
      </c>
      <c r="R21" s="25" t="s">
        <v>108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</row>
    <row r="22" spans="1:45" ht="44" customHeight="1">
      <c r="A22" s="22" t="s">
        <v>10</v>
      </c>
      <c r="B22" s="23" t="s">
        <v>103</v>
      </c>
      <c r="C22" s="22" t="s">
        <v>104</v>
      </c>
      <c r="D22" s="22" t="s">
        <v>112</v>
      </c>
      <c r="E22" s="23" t="s">
        <v>106</v>
      </c>
      <c r="F22" s="23">
        <v>3404</v>
      </c>
      <c r="G22" s="23">
        <v>427</v>
      </c>
      <c r="H22" s="23">
        <v>0</v>
      </c>
      <c r="I22" s="23">
        <v>3831</v>
      </c>
      <c r="J22" s="23">
        <v>0.25</v>
      </c>
      <c r="K22" s="23">
        <v>2.5000000000000001E-2</v>
      </c>
      <c r="L22" s="23">
        <v>0</v>
      </c>
      <c r="M22" s="23">
        <v>1.5</v>
      </c>
      <c r="N22" s="24" t="e">
        <f>MAX(0,F22-H22-#REF!)*J22/1000000 + H22*K22/1000000 +#REF!* L22/1000000</f>
        <v>#REF!</v>
      </c>
      <c r="O22" s="24">
        <f t="shared" si="0"/>
        <v>6.4050000000000001E-4</v>
      </c>
      <c r="P22" s="24" t="e">
        <f t="shared" si="1"/>
        <v>#REF!</v>
      </c>
      <c r="Q22" s="22" t="s">
        <v>107</v>
      </c>
      <c r="R22" s="22" t="s">
        <v>108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</row>
    <row r="23" spans="1:45" ht="44" customHeight="1">
      <c r="A23" s="25" t="s">
        <v>10</v>
      </c>
      <c r="B23" s="26" t="s">
        <v>103</v>
      </c>
      <c r="C23" s="25" t="s">
        <v>104</v>
      </c>
      <c r="D23" s="25" t="s">
        <v>112</v>
      </c>
      <c r="E23" s="26" t="s">
        <v>106</v>
      </c>
      <c r="F23" s="26">
        <v>6167</v>
      </c>
      <c r="G23" s="26">
        <v>649</v>
      </c>
      <c r="H23" s="26">
        <v>0</v>
      </c>
      <c r="I23" s="26">
        <v>6816</v>
      </c>
      <c r="J23" s="26">
        <v>0.25</v>
      </c>
      <c r="K23" s="26">
        <v>2.5000000000000001E-2</v>
      </c>
      <c r="L23" s="26">
        <v>0</v>
      </c>
      <c r="M23" s="26">
        <v>1.5</v>
      </c>
      <c r="N23" s="27" t="e">
        <f>MAX(0,F23-H23-#REF!)*J23/1000000 + H23*K23/1000000 +#REF!* L23/1000000</f>
        <v>#REF!</v>
      </c>
      <c r="O23" s="27">
        <f t="shared" si="0"/>
        <v>9.7349999999999997E-4</v>
      </c>
      <c r="P23" s="27" t="e">
        <f t="shared" si="1"/>
        <v>#REF!</v>
      </c>
      <c r="Q23" s="25" t="s">
        <v>107</v>
      </c>
      <c r="R23" s="25" t="s">
        <v>108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</row>
    <row r="24" spans="1:45" ht="44" customHeight="1">
      <c r="A24" s="22" t="s">
        <v>14</v>
      </c>
      <c r="B24" s="23" t="s">
        <v>103</v>
      </c>
      <c r="C24" s="22" t="s">
        <v>104</v>
      </c>
      <c r="D24" s="22" t="s">
        <v>105</v>
      </c>
      <c r="E24" s="23" t="s">
        <v>106</v>
      </c>
      <c r="F24" s="23">
        <v>7258</v>
      </c>
      <c r="G24" s="23">
        <v>156</v>
      </c>
      <c r="H24" s="23">
        <v>0</v>
      </c>
      <c r="I24" s="23">
        <v>7414</v>
      </c>
      <c r="J24" s="23">
        <v>0.25</v>
      </c>
      <c r="K24" s="23">
        <v>2.5000000000000001E-2</v>
      </c>
      <c r="L24" s="23">
        <v>0</v>
      </c>
      <c r="M24" s="23">
        <v>1.5</v>
      </c>
      <c r="N24" s="24" t="e">
        <f>MAX(0,F24-H24-#REF!)*J24/1000000 + H24*K24/1000000 +#REF!* L24/1000000</f>
        <v>#REF!</v>
      </c>
      <c r="O24" s="24">
        <f t="shared" si="0"/>
        <v>2.34E-4</v>
      </c>
      <c r="P24" s="24" t="e">
        <f t="shared" si="1"/>
        <v>#REF!</v>
      </c>
      <c r="Q24" s="22" t="s">
        <v>107</v>
      </c>
      <c r="R24" s="22" t="s">
        <v>108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</row>
    <row r="25" spans="1:45" ht="44" customHeight="1">
      <c r="A25" s="25" t="s">
        <v>14</v>
      </c>
      <c r="B25" s="26" t="s">
        <v>103</v>
      </c>
      <c r="C25" s="25" t="s">
        <v>104</v>
      </c>
      <c r="D25" s="25" t="s">
        <v>109</v>
      </c>
      <c r="E25" s="26" t="s">
        <v>106</v>
      </c>
      <c r="F25" s="26">
        <v>1568</v>
      </c>
      <c r="G25" s="26">
        <v>9</v>
      </c>
      <c r="H25" s="26">
        <v>0</v>
      </c>
      <c r="I25" s="26">
        <v>1577</v>
      </c>
      <c r="J25" s="26">
        <v>0.25</v>
      </c>
      <c r="K25" s="26">
        <v>2.5000000000000001E-2</v>
      </c>
      <c r="L25" s="26">
        <v>0</v>
      </c>
      <c r="M25" s="26">
        <v>1.5</v>
      </c>
      <c r="N25" s="27" t="e">
        <f>MAX(0,F25-H25-#REF!)*J25/1000000 + H25*K25/1000000 +#REF!* L25/1000000</f>
        <v>#REF!</v>
      </c>
      <c r="O25" s="27">
        <f t="shared" si="0"/>
        <v>1.3499999999999999E-5</v>
      </c>
      <c r="P25" s="27" t="e">
        <f t="shared" si="1"/>
        <v>#REF!</v>
      </c>
      <c r="Q25" s="25" t="s">
        <v>107</v>
      </c>
      <c r="R25" s="25" t="s">
        <v>108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</row>
    <row r="26" spans="1:45" ht="44" customHeight="1">
      <c r="A26" s="22" t="s">
        <v>14</v>
      </c>
      <c r="B26" s="23" t="s">
        <v>103</v>
      </c>
      <c r="C26" s="22" t="s">
        <v>104</v>
      </c>
      <c r="D26" s="22" t="s">
        <v>109</v>
      </c>
      <c r="E26" s="23" t="s">
        <v>106</v>
      </c>
      <c r="F26" s="23">
        <v>1212</v>
      </c>
      <c r="G26" s="23">
        <v>9</v>
      </c>
      <c r="H26" s="23">
        <v>0</v>
      </c>
      <c r="I26" s="23">
        <v>1221</v>
      </c>
      <c r="J26" s="23">
        <v>0.25</v>
      </c>
      <c r="K26" s="23">
        <v>2.5000000000000001E-2</v>
      </c>
      <c r="L26" s="23">
        <v>0</v>
      </c>
      <c r="M26" s="23">
        <v>1.5</v>
      </c>
      <c r="N26" s="24" t="e">
        <f>MAX(0,F26-H26-#REF!)*J26/1000000 + H26*K26/1000000 +#REF!* L26/1000000</f>
        <v>#REF!</v>
      </c>
      <c r="O26" s="24">
        <f t="shared" si="0"/>
        <v>1.3499999999999999E-5</v>
      </c>
      <c r="P26" s="24" t="e">
        <f t="shared" si="1"/>
        <v>#REF!</v>
      </c>
      <c r="Q26" s="22" t="s">
        <v>107</v>
      </c>
      <c r="R26" s="22" t="s">
        <v>108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</row>
    <row r="27" spans="1:45" ht="44" customHeight="1">
      <c r="A27" s="25" t="s">
        <v>14</v>
      </c>
      <c r="B27" s="26" t="s">
        <v>103</v>
      </c>
      <c r="C27" s="25" t="s">
        <v>104</v>
      </c>
      <c r="D27" s="25" t="s">
        <v>109</v>
      </c>
      <c r="E27" s="26" t="s">
        <v>106</v>
      </c>
      <c r="F27" s="26">
        <v>1526</v>
      </c>
      <c r="G27" s="26">
        <v>9</v>
      </c>
      <c r="H27" s="26">
        <v>0</v>
      </c>
      <c r="I27" s="26">
        <v>1535</v>
      </c>
      <c r="J27" s="26">
        <v>0.25</v>
      </c>
      <c r="K27" s="26">
        <v>2.5000000000000001E-2</v>
      </c>
      <c r="L27" s="26">
        <v>0</v>
      </c>
      <c r="M27" s="26">
        <v>1.5</v>
      </c>
      <c r="N27" s="27" t="e">
        <f>MAX(0,F27-H27-#REF!)*J27/1000000 + H27*K27/1000000 +#REF!* L27/1000000</f>
        <v>#REF!</v>
      </c>
      <c r="O27" s="27">
        <f t="shared" si="0"/>
        <v>1.3499999999999999E-5</v>
      </c>
      <c r="P27" s="27" t="e">
        <f t="shared" si="1"/>
        <v>#REF!</v>
      </c>
      <c r="Q27" s="25" t="s">
        <v>107</v>
      </c>
      <c r="R27" s="25" t="s">
        <v>108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</row>
    <row r="28" spans="1:45" ht="44" customHeight="1">
      <c r="A28" s="22" t="s">
        <v>14</v>
      </c>
      <c r="B28" s="23" t="s">
        <v>103</v>
      </c>
      <c r="C28" s="22" t="s">
        <v>104</v>
      </c>
      <c r="D28" s="22" t="s">
        <v>109</v>
      </c>
      <c r="E28" s="23" t="s">
        <v>106</v>
      </c>
      <c r="F28" s="23">
        <v>5181</v>
      </c>
      <c r="G28" s="23">
        <v>184</v>
      </c>
      <c r="H28" s="23">
        <v>0</v>
      </c>
      <c r="I28" s="23">
        <v>5365</v>
      </c>
      <c r="J28" s="23">
        <v>0.25</v>
      </c>
      <c r="K28" s="23">
        <v>2.5000000000000001E-2</v>
      </c>
      <c r="L28" s="23">
        <v>0</v>
      </c>
      <c r="M28" s="23">
        <v>1.5</v>
      </c>
      <c r="N28" s="24" t="e">
        <f>MAX(0,F28-H28-#REF!)*J28/1000000 + H28*K28/1000000 +#REF!* L28/1000000</f>
        <v>#REF!</v>
      </c>
      <c r="O28" s="24">
        <f t="shared" si="0"/>
        <v>2.7599999999999999E-4</v>
      </c>
      <c r="P28" s="24" t="e">
        <f t="shared" si="1"/>
        <v>#REF!</v>
      </c>
      <c r="Q28" s="22" t="s">
        <v>107</v>
      </c>
      <c r="R28" s="22" t="s">
        <v>108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</row>
    <row r="29" spans="1:45" ht="44" customHeight="1">
      <c r="A29" s="25" t="s">
        <v>14</v>
      </c>
      <c r="B29" s="26" t="s">
        <v>103</v>
      </c>
      <c r="C29" s="25" t="s">
        <v>104</v>
      </c>
      <c r="D29" s="25" t="s">
        <v>109</v>
      </c>
      <c r="E29" s="26" t="s">
        <v>106</v>
      </c>
      <c r="F29" s="26">
        <v>1633</v>
      </c>
      <c r="G29" s="26">
        <v>193</v>
      </c>
      <c r="H29" s="26">
        <v>0</v>
      </c>
      <c r="I29" s="26">
        <v>1826</v>
      </c>
      <c r="J29" s="26">
        <v>0.25</v>
      </c>
      <c r="K29" s="26">
        <v>2.5000000000000001E-2</v>
      </c>
      <c r="L29" s="26">
        <v>0</v>
      </c>
      <c r="M29" s="26">
        <v>1.5</v>
      </c>
      <c r="N29" s="27" t="e">
        <f>MAX(0,F29-H29-#REF!)*J29/1000000 + H29*K29/1000000 +#REF!* L29/1000000</f>
        <v>#REF!</v>
      </c>
      <c r="O29" s="27">
        <f t="shared" si="0"/>
        <v>2.8949999999999999E-4</v>
      </c>
      <c r="P29" s="27" t="e">
        <f t="shared" si="1"/>
        <v>#REF!</v>
      </c>
      <c r="Q29" s="25" t="s">
        <v>107</v>
      </c>
      <c r="R29" s="25" t="s">
        <v>108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</row>
    <row r="30" spans="1:45" ht="44" customHeight="1">
      <c r="A30" s="22" t="s">
        <v>14</v>
      </c>
      <c r="B30" s="23" t="s">
        <v>103</v>
      </c>
      <c r="C30" s="22" t="s">
        <v>104</v>
      </c>
      <c r="D30" s="22" t="s">
        <v>109</v>
      </c>
      <c r="E30" s="23" t="s">
        <v>106</v>
      </c>
      <c r="F30" s="23">
        <v>9186</v>
      </c>
      <c r="G30" s="23">
        <v>213</v>
      </c>
      <c r="H30" s="23">
        <v>0</v>
      </c>
      <c r="I30" s="23">
        <v>9399</v>
      </c>
      <c r="J30" s="23">
        <v>0.25</v>
      </c>
      <c r="K30" s="23">
        <v>2.5000000000000001E-2</v>
      </c>
      <c r="L30" s="23">
        <v>0</v>
      </c>
      <c r="M30" s="23">
        <v>1.5</v>
      </c>
      <c r="N30" s="24" t="e">
        <f>MAX(0,F30-H30-#REF!)*J30/1000000 + H30*K30/1000000 +#REF!* L30/1000000</f>
        <v>#REF!</v>
      </c>
      <c r="O30" s="24">
        <f t="shared" si="0"/>
        <v>3.1950000000000001E-4</v>
      </c>
      <c r="P30" s="24" t="e">
        <f t="shared" si="1"/>
        <v>#REF!</v>
      </c>
      <c r="Q30" s="22" t="s">
        <v>107</v>
      </c>
      <c r="R30" s="22" t="s">
        <v>108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</row>
    <row r="31" spans="1:45" ht="44" customHeight="1">
      <c r="A31" s="25" t="s">
        <v>14</v>
      </c>
      <c r="B31" s="26" t="s">
        <v>103</v>
      </c>
      <c r="C31" s="25" t="s">
        <v>104</v>
      </c>
      <c r="D31" s="25" t="s">
        <v>110</v>
      </c>
      <c r="E31" s="26" t="s">
        <v>106</v>
      </c>
      <c r="F31" s="26">
        <v>1639</v>
      </c>
      <c r="G31" s="26">
        <v>9</v>
      </c>
      <c r="H31" s="26">
        <v>0</v>
      </c>
      <c r="I31" s="26">
        <v>1648</v>
      </c>
      <c r="J31" s="26">
        <v>0.25</v>
      </c>
      <c r="K31" s="26">
        <v>2.5000000000000001E-2</v>
      </c>
      <c r="L31" s="26">
        <v>0</v>
      </c>
      <c r="M31" s="26">
        <v>1.5</v>
      </c>
      <c r="N31" s="27" t="e">
        <f>MAX(0,F31-H31-#REF!)*J31/1000000 + H31*K31/1000000 +#REF!* L31/1000000</f>
        <v>#REF!</v>
      </c>
      <c r="O31" s="27">
        <f t="shared" si="0"/>
        <v>1.3499999999999999E-5</v>
      </c>
      <c r="P31" s="27" t="e">
        <f t="shared" si="1"/>
        <v>#REF!</v>
      </c>
      <c r="Q31" s="25" t="s">
        <v>107</v>
      </c>
      <c r="R31" s="25" t="s">
        <v>108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</row>
    <row r="32" spans="1:45" ht="44" customHeight="1">
      <c r="A32" s="22" t="s">
        <v>14</v>
      </c>
      <c r="B32" s="23" t="s">
        <v>103</v>
      </c>
      <c r="C32" s="22" t="s">
        <v>104</v>
      </c>
      <c r="D32" s="22" t="s">
        <v>110</v>
      </c>
      <c r="E32" s="23" t="s">
        <v>106</v>
      </c>
      <c r="F32" s="23">
        <v>2852</v>
      </c>
      <c r="G32" s="23">
        <v>9</v>
      </c>
      <c r="H32" s="23">
        <v>0</v>
      </c>
      <c r="I32" s="23">
        <v>2861</v>
      </c>
      <c r="J32" s="23">
        <v>0.25</v>
      </c>
      <c r="K32" s="23">
        <v>2.5000000000000001E-2</v>
      </c>
      <c r="L32" s="23">
        <v>0</v>
      </c>
      <c r="M32" s="23">
        <v>1.5</v>
      </c>
      <c r="N32" s="24" t="e">
        <f>MAX(0,F32-H32-#REF!)*J32/1000000 + H32*K32/1000000 +#REF!* L32/1000000</f>
        <v>#REF!</v>
      </c>
      <c r="O32" s="24">
        <f t="shared" si="0"/>
        <v>1.3499999999999999E-5</v>
      </c>
      <c r="P32" s="24" t="e">
        <f t="shared" si="1"/>
        <v>#REF!</v>
      </c>
      <c r="Q32" s="22" t="s">
        <v>107</v>
      </c>
      <c r="R32" s="22" t="s">
        <v>108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</row>
    <row r="33" spans="1:45" ht="44" customHeight="1">
      <c r="A33" s="25" t="s">
        <v>14</v>
      </c>
      <c r="B33" s="26" t="s">
        <v>103</v>
      </c>
      <c r="C33" s="25" t="s">
        <v>104</v>
      </c>
      <c r="D33" s="25" t="s">
        <v>110</v>
      </c>
      <c r="E33" s="26" t="s">
        <v>106</v>
      </c>
      <c r="F33" s="26">
        <v>2180</v>
      </c>
      <c r="G33" s="26">
        <v>9</v>
      </c>
      <c r="H33" s="26">
        <v>0</v>
      </c>
      <c r="I33" s="26">
        <v>2189</v>
      </c>
      <c r="J33" s="26">
        <v>0.25</v>
      </c>
      <c r="K33" s="26">
        <v>2.5000000000000001E-2</v>
      </c>
      <c r="L33" s="26">
        <v>0</v>
      </c>
      <c r="M33" s="26">
        <v>1.5</v>
      </c>
      <c r="N33" s="27" t="e">
        <f>MAX(0,F33-H33-#REF!)*J33/1000000 + H33*K33/1000000 +#REF!* L33/1000000</f>
        <v>#REF!</v>
      </c>
      <c r="O33" s="27">
        <f t="shared" si="0"/>
        <v>1.3499999999999999E-5</v>
      </c>
      <c r="P33" s="27" t="e">
        <f t="shared" si="1"/>
        <v>#REF!</v>
      </c>
      <c r="Q33" s="25" t="s">
        <v>107</v>
      </c>
      <c r="R33" s="25" t="s">
        <v>108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</row>
    <row r="34" spans="1:45" ht="44" customHeight="1">
      <c r="A34" s="22" t="s">
        <v>14</v>
      </c>
      <c r="B34" s="23" t="s">
        <v>103</v>
      </c>
      <c r="C34" s="22" t="s">
        <v>104</v>
      </c>
      <c r="D34" s="22" t="s">
        <v>110</v>
      </c>
      <c r="E34" s="23" t="s">
        <v>106</v>
      </c>
      <c r="F34" s="23">
        <v>6024</v>
      </c>
      <c r="G34" s="23">
        <v>9</v>
      </c>
      <c r="H34" s="23">
        <v>0</v>
      </c>
      <c r="I34" s="23">
        <v>6033</v>
      </c>
      <c r="J34" s="23">
        <v>0.25</v>
      </c>
      <c r="K34" s="23">
        <v>2.5000000000000001E-2</v>
      </c>
      <c r="L34" s="23">
        <v>0</v>
      </c>
      <c r="M34" s="23">
        <v>1.5</v>
      </c>
      <c r="N34" s="24" t="e">
        <f>MAX(0,F34-H34-#REF!)*J34/1000000 + H34*K34/1000000 +#REF!* L34/1000000</f>
        <v>#REF!</v>
      </c>
      <c r="O34" s="24">
        <f t="shared" ref="O34:O65" si="2">G34*M34/1000000</f>
        <v>1.3499999999999999E-5</v>
      </c>
      <c r="P34" s="24" t="e">
        <f t="shared" ref="P34:P65" si="3">N34+O34</f>
        <v>#REF!</v>
      </c>
      <c r="Q34" s="22" t="s">
        <v>107</v>
      </c>
      <c r="R34" s="22" t="s">
        <v>108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</row>
    <row r="35" spans="1:45" ht="44" customHeight="1">
      <c r="A35" s="25" t="s">
        <v>14</v>
      </c>
      <c r="B35" s="26" t="s">
        <v>103</v>
      </c>
      <c r="C35" s="25" t="s">
        <v>104</v>
      </c>
      <c r="D35" s="25" t="s">
        <v>110</v>
      </c>
      <c r="E35" s="26" t="s">
        <v>106</v>
      </c>
      <c r="F35" s="26">
        <v>5187</v>
      </c>
      <c r="G35" s="26">
        <v>9</v>
      </c>
      <c r="H35" s="26">
        <v>0</v>
      </c>
      <c r="I35" s="26">
        <v>5196</v>
      </c>
      <c r="J35" s="26">
        <v>0.25</v>
      </c>
      <c r="K35" s="26">
        <v>2.5000000000000001E-2</v>
      </c>
      <c r="L35" s="26">
        <v>0</v>
      </c>
      <c r="M35" s="26">
        <v>1.5</v>
      </c>
      <c r="N35" s="27" t="e">
        <f>MAX(0,F35-H35-#REF!)*J35/1000000 + H35*K35/1000000 +#REF!* L35/1000000</f>
        <v>#REF!</v>
      </c>
      <c r="O35" s="27">
        <f t="shared" si="2"/>
        <v>1.3499999999999999E-5</v>
      </c>
      <c r="P35" s="27" t="e">
        <f t="shared" si="3"/>
        <v>#REF!</v>
      </c>
      <c r="Q35" s="25" t="s">
        <v>107</v>
      </c>
      <c r="R35" s="25" t="s">
        <v>108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</row>
    <row r="36" spans="1:45" ht="44" customHeight="1">
      <c r="A36" s="22" t="s">
        <v>14</v>
      </c>
      <c r="B36" s="23" t="s">
        <v>103</v>
      </c>
      <c r="C36" s="22" t="s">
        <v>104</v>
      </c>
      <c r="D36" s="22" t="s">
        <v>110</v>
      </c>
      <c r="E36" s="23" t="s">
        <v>106</v>
      </c>
      <c r="F36" s="23">
        <v>3010</v>
      </c>
      <c r="G36" s="23">
        <v>173</v>
      </c>
      <c r="H36" s="23">
        <v>0</v>
      </c>
      <c r="I36" s="23">
        <v>3183</v>
      </c>
      <c r="J36" s="23">
        <v>0.25</v>
      </c>
      <c r="K36" s="23">
        <v>2.5000000000000001E-2</v>
      </c>
      <c r="L36" s="23">
        <v>0</v>
      </c>
      <c r="M36" s="23">
        <v>1.5</v>
      </c>
      <c r="N36" s="24" t="e">
        <f>MAX(0,F36-H36-#REF!)*J36/1000000 + H36*K36/1000000 +#REF!* L36/1000000</f>
        <v>#REF!</v>
      </c>
      <c r="O36" s="24">
        <f t="shared" si="2"/>
        <v>2.5950000000000002E-4</v>
      </c>
      <c r="P36" s="24" t="e">
        <f t="shared" si="3"/>
        <v>#REF!</v>
      </c>
      <c r="Q36" s="22" t="s">
        <v>107</v>
      </c>
      <c r="R36" s="22" t="s">
        <v>108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</row>
    <row r="37" spans="1:45" ht="44" customHeight="1">
      <c r="A37" s="25" t="s">
        <v>14</v>
      </c>
      <c r="B37" s="26" t="s">
        <v>103</v>
      </c>
      <c r="C37" s="25" t="s">
        <v>104</v>
      </c>
      <c r="D37" s="25" t="s">
        <v>110</v>
      </c>
      <c r="E37" s="26" t="s">
        <v>106</v>
      </c>
      <c r="F37" s="26">
        <v>1574</v>
      </c>
      <c r="G37" s="26">
        <v>186</v>
      </c>
      <c r="H37" s="26">
        <v>0</v>
      </c>
      <c r="I37" s="26">
        <v>1760</v>
      </c>
      <c r="J37" s="26">
        <v>0.25</v>
      </c>
      <c r="K37" s="26">
        <v>2.5000000000000001E-2</v>
      </c>
      <c r="L37" s="26">
        <v>0</v>
      </c>
      <c r="M37" s="26">
        <v>1.5</v>
      </c>
      <c r="N37" s="27" t="e">
        <f>MAX(0,F37-H37-#REF!)*J37/1000000 + H37*K37/1000000 +#REF!* L37/1000000</f>
        <v>#REF!</v>
      </c>
      <c r="O37" s="27">
        <f t="shared" si="2"/>
        <v>2.7900000000000001E-4</v>
      </c>
      <c r="P37" s="27" t="e">
        <f t="shared" si="3"/>
        <v>#REF!</v>
      </c>
      <c r="Q37" s="25" t="s">
        <v>107</v>
      </c>
      <c r="R37" s="25" t="s">
        <v>108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</row>
    <row r="38" spans="1:45" ht="44" customHeight="1">
      <c r="A38" s="22" t="s">
        <v>14</v>
      </c>
      <c r="B38" s="23" t="s">
        <v>103</v>
      </c>
      <c r="C38" s="22" t="s">
        <v>104</v>
      </c>
      <c r="D38" s="22" t="s">
        <v>110</v>
      </c>
      <c r="E38" s="23" t="s">
        <v>106</v>
      </c>
      <c r="F38" s="23">
        <v>9192</v>
      </c>
      <c r="G38" s="23">
        <v>170</v>
      </c>
      <c r="H38" s="23">
        <v>0</v>
      </c>
      <c r="I38" s="23">
        <v>9362</v>
      </c>
      <c r="J38" s="23">
        <v>0.25</v>
      </c>
      <c r="K38" s="23">
        <v>2.5000000000000001E-2</v>
      </c>
      <c r="L38" s="23">
        <v>0</v>
      </c>
      <c r="M38" s="23">
        <v>1.5</v>
      </c>
      <c r="N38" s="24" t="e">
        <f>MAX(0,F38-H38-#REF!)*J38/1000000 + H38*K38/1000000 +#REF!* L38/1000000</f>
        <v>#REF!</v>
      </c>
      <c r="O38" s="24">
        <f t="shared" si="2"/>
        <v>2.5500000000000002E-4</v>
      </c>
      <c r="P38" s="24" t="e">
        <f t="shared" si="3"/>
        <v>#REF!</v>
      </c>
      <c r="Q38" s="22" t="s">
        <v>107</v>
      </c>
      <c r="R38" s="22" t="s">
        <v>108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</row>
    <row r="39" spans="1:45" ht="44" customHeight="1">
      <c r="A39" s="25" t="s">
        <v>14</v>
      </c>
      <c r="B39" s="26" t="s">
        <v>103</v>
      </c>
      <c r="C39" s="25" t="s">
        <v>104</v>
      </c>
      <c r="D39" s="25" t="s">
        <v>111</v>
      </c>
      <c r="E39" s="26" t="s">
        <v>106</v>
      </c>
      <c r="F39" s="26">
        <v>1026</v>
      </c>
      <c r="G39" s="26">
        <v>5</v>
      </c>
      <c r="H39" s="26">
        <v>0</v>
      </c>
      <c r="I39" s="26">
        <v>1031</v>
      </c>
      <c r="J39" s="26">
        <v>0.25</v>
      </c>
      <c r="K39" s="26">
        <v>2.5000000000000001E-2</v>
      </c>
      <c r="L39" s="26">
        <v>0</v>
      </c>
      <c r="M39" s="26">
        <v>1.5</v>
      </c>
      <c r="N39" s="27" t="e">
        <f>MAX(0,F39-H39-#REF!)*J39/1000000 + H39*K39/1000000 +#REF!* L39/1000000</f>
        <v>#REF!</v>
      </c>
      <c r="O39" s="27">
        <f t="shared" si="2"/>
        <v>7.5000000000000002E-6</v>
      </c>
      <c r="P39" s="27" t="e">
        <f t="shared" si="3"/>
        <v>#REF!</v>
      </c>
      <c r="Q39" s="25" t="s">
        <v>107</v>
      </c>
      <c r="R39" s="25" t="s">
        <v>108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</row>
    <row r="40" spans="1:45" ht="44" customHeight="1">
      <c r="A40" s="22" t="s">
        <v>14</v>
      </c>
      <c r="B40" s="23" t="s">
        <v>103</v>
      </c>
      <c r="C40" s="22" t="s">
        <v>104</v>
      </c>
      <c r="D40" s="22" t="s">
        <v>111</v>
      </c>
      <c r="E40" s="23" t="s">
        <v>106</v>
      </c>
      <c r="F40" s="23">
        <v>2504</v>
      </c>
      <c r="G40" s="23">
        <v>9</v>
      </c>
      <c r="H40" s="23">
        <v>0</v>
      </c>
      <c r="I40" s="23">
        <v>2513</v>
      </c>
      <c r="J40" s="23">
        <v>0.25</v>
      </c>
      <c r="K40" s="23">
        <v>2.5000000000000001E-2</v>
      </c>
      <c r="L40" s="23">
        <v>0</v>
      </c>
      <c r="M40" s="23">
        <v>1.5</v>
      </c>
      <c r="N40" s="24" t="e">
        <f>MAX(0,F40-H40-#REF!)*J40/1000000 + H40*K40/1000000 +#REF!* L40/1000000</f>
        <v>#REF!</v>
      </c>
      <c r="O40" s="24">
        <f t="shared" si="2"/>
        <v>1.3499999999999999E-5</v>
      </c>
      <c r="P40" s="24" t="e">
        <f t="shared" si="3"/>
        <v>#REF!</v>
      </c>
      <c r="Q40" s="22" t="s">
        <v>107</v>
      </c>
      <c r="R40" s="22" t="s">
        <v>108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</row>
    <row r="41" spans="1:45" ht="44" customHeight="1">
      <c r="A41" s="25" t="s">
        <v>14</v>
      </c>
      <c r="B41" s="26" t="s">
        <v>103</v>
      </c>
      <c r="C41" s="25" t="s">
        <v>104</v>
      </c>
      <c r="D41" s="25" t="s">
        <v>111</v>
      </c>
      <c r="E41" s="26" t="s">
        <v>106</v>
      </c>
      <c r="F41" s="26">
        <v>2346</v>
      </c>
      <c r="G41" s="26">
        <v>9</v>
      </c>
      <c r="H41" s="26">
        <v>0</v>
      </c>
      <c r="I41" s="26">
        <v>2355</v>
      </c>
      <c r="J41" s="26">
        <v>0.25</v>
      </c>
      <c r="K41" s="26">
        <v>2.5000000000000001E-2</v>
      </c>
      <c r="L41" s="26">
        <v>0</v>
      </c>
      <c r="M41" s="26">
        <v>1.5</v>
      </c>
      <c r="N41" s="27" t="e">
        <f>MAX(0,F41-H41-#REF!)*J41/1000000 + H41*K41/1000000 +#REF!* L41/1000000</f>
        <v>#REF!</v>
      </c>
      <c r="O41" s="27">
        <f t="shared" si="2"/>
        <v>1.3499999999999999E-5</v>
      </c>
      <c r="P41" s="27" t="e">
        <f t="shared" si="3"/>
        <v>#REF!</v>
      </c>
      <c r="Q41" s="25" t="s">
        <v>107</v>
      </c>
      <c r="R41" s="25" t="s">
        <v>108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</row>
    <row r="42" spans="1:45" ht="44" customHeight="1">
      <c r="A42" s="22" t="s">
        <v>14</v>
      </c>
      <c r="B42" s="23" t="s">
        <v>103</v>
      </c>
      <c r="C42" s="22" t="s">
        <v>104</v>
      </c>
      <c r="D42" s="22" t="s">
        <v>111</v>
      </c>
      <c r="E42" s="23" t="s">
        <v>106</v>
      </c>
      <c r="F42" s="23">
        <v>2135</v>
      </c>
      <c r="G42" s="23">
        <v>5</v>
      </c>
      <c r="H42" s="23">
        <v>0</v>
      </c>
      <c r="I42" s="23">
        <v>2140</v>
      </c>
      <c r="J42" s="23">
        <v>0.25</v>
      </c>
      <c r="K42" s="23">
        <v>2.5000000000000001E-2</v>
      </c>
      <c r="L42" s="23">
        <v>0</v>
      </c>
      <c r="M42" s="23">
        <v>1.5</v>
      </c>
      <c r="N42" s="24" t="e">
        <f>MAX(0,F42-H42-#REF!)*J42/1000000 + H42*K42/1000000 +#REF!* L42/1000000</f>
        <v>#REF!</v>
      </c>
      <c r="O42" s="24">
        <f t="shared" si="2"/>
        <v>7.5000000000000002E-6</v>
      </c>
      <c r="P42" s="24" t="e">
        <f t="shared" si="3"/>
        <v>#REF!</v>
      </c>
      <c r="Q42" s="22" t="s">
        <v>107</v>
      </c>
      <c r="R42" s="22" t="s">
        <v>108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</row>
    <row r="43" spans="1:45" ht="44" customHeight="1">
      <c r="A43" s="25" t="s">
        <v>14</v>
      </c>
      <c r="B43" s="26" t="s">
        <v>103</v>
      </c>
      <c r="C43" s="25" t="s">
        <v>104</v>
      </c>
      <c r="D43" s="25" t="s">
        <v>111</v>
      </c>
      <c r="E43" s="26" t="s">
        <v>106</v>
      </c>
      <c r="F43" s="26">
        <v>2172</v>
      </c>
      <c r="G43" s="26">
        <v>9</v>
      </c>
      <c r="H43" s="26">
        <v>0</v>
      </c>
      <c r="I43" s="26">
        <v>2181</v>
      </c>
      <c r="J43" s="26">
        <v>0.25</v>
      </c>
      <c r="K43" s="26">
        <v>2.5000000000000001E-2</v>
      </c>
      <c r="L43" s="26">
        <v>0</v>
      </c>
      <c r="M43" s="26">
        <v>1.5</v>
      </c>
      <c r="N43" s="27" t="e">
        <f>MAX(0,F43-H43-#REF!)*J43/1000000 + H43*K43/1000000 +#REF!* L43/1000000</f>
        <v>#REF!</v>
      </c>
      <c r="O43" s="27">
        <f t="shared" si="2"/>
        <v>1.3499999999999999E-5</v>
      </c>
      <c r="P43" s="27" t="e">
        <f t="shared" si="3"/>
        <v>#REF!</v>
      </c>
      <c r="Q43" s="25" t="s">
        <v>107</v>
      </c>
      <c r="R43" s="25" t="s">
        <v>108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</row>
    <row r="44" spans="1:45" ht="44" customHeight="1">
      <c r="A44" s="22" t="s">
        <v>14</v>
      </c>
      <c r="B44" s="23" t="s">
        <v>103</v>
      </c>
      <c r="C44" s="22" t="s">
        <v>104</v>
      </c>
      <c r="D44" s="22" t="s">
        <v>112</v>
      </c>
      <c r="E44" s="23" t="s">
        <v>106</v>
      </c>
      <c r="F44" s="23">
        <v>1931</v>
      </c>
      <c r="G44" s="23">
        <v>284</v>
      </c>
      <c r="H44" s="23">
        <v>0</v>
      </c>
      <c r="I44" s="23">
        <v>2215</v>
      </c>
      <c r="J44" s="23">
        <v>0.25</v>
      </c>
      <c r="K44" s="23">
        <v>2.5000000000000001E-2</v>
      </c>
      <c r="L44" s="23">
        <v>0</v>
      </c>
      <c r="M44" s="23">
        <v>1.5</v>
      </c>
      <c r="N44" s="24" t="e">
        <f>MAX(0,F44-H44-#REF!)*J44/1000000 + H44*K44/1000000 +#REF!* L44/1000000</f>
        <v>#REF!</v>
      </c>
      <c r="O44" s="24">
        <f t="shared" si="2"/>
        <v>4.26E-4</v>
      </c>
      <c r="P44" s="24" t="e">
        <f t="shared" si="3"/>
        <v>#REF!</v>
      </c>
      <c r="Q44" s="22" t="s">
        <v>107</v>
      </c>
      <c r="R44" s="22" t="s">
        <v>108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</row>
    <row r="45" spans="1:45" ht="44" customHeight="1">
      <c r="A45" s="25" t="s">
        <v>14</v>
      </c>
      <c r="B45" s="26" t="s">
        <v>103</v>
      </c>
      <c r="C45" s="25" t="s">
        <v>104</v>
      </c>
      <c r="D45" s="25" t="s">
        <v>112</v>
      </c>
      <c r="E45" s="26" t="s">
        <v>106</v>
      </c>
      <c r="F45" s="26">
        <v>971</v>
      </c>
      <c r="G45" s="26">
        <v>273</v>
      </c>
      <c r="H45" s="26">
        <v>0</v>
      </c>
      <c r="I45" s="26">
        <v>1244</v>
      </c>
      <c r="J45" s="26">
        <v>0.25</v>
      </c>
      <c r="K45" s="26">
        <v>2.5000000000000001E-2</v>
      </c>
      <c r="L45" s="26">
        <v>0</v>
      </c>
      <c r="M45" s="26">
        <v>1.5</v>
      </c>
      <c r="N45" s="27" t="e">
        <f>MAX(0,F45-H45-#REF!)*J45/1000000 + H45*K45/1000000 +#REF!* L45/1000000</f>
        <v>#REF!</v>
      </c>
      <c r="O45" s="27">
        <f t="shared" si="2"/>
        <v>4.0949999999999998E-4</v>
      </c>
      <c r="P45" s="27" t="e">
        <f t="shared" si="3"/>
        <v>#REF!</v>
      </c>
      <c r="Q45" s="25" t="s">
        <v>107</v>
      </c>
      <c r="R45" s="25" t="s">
        <v>108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</row>
    <row r="46" spans="1:45" ht="44" customHeight="1">
      <c r="A46" s="22" t="s">
        <v>14</v>
      </c>
      <c r="B46" s="23" t="s">
        <v>103</v>
      </c>
      <c r="C46" s="22" t="s">
        <v>104</v>
      </c>
      <c r="D46" s="22" t="s">
        <v>112</v>
      </c>
      <c r="E46" s="23" t="s">
        <v>106</v>
      </c>
      <c r="F46" s="23">
        <v>893</v>
      </c>
      <c r="G46" s="23">
        <v>264</v>
      </c>
      <c r="H46" s="23">
        <v>0</v>
      </c>
      <c r="I46" s="23">
        <v>1157</v>
      </c>
      <c r="J46" s="23">
        <v>0.25</v>
      </c>
      <c r="K46" s="23">
        <v>2.5000000000000001E-2</v>
      </c>
      <c r="L46" s="23">
        <v>0</v>
      </c>
      <c r="M46" s="23">
        <v>1.5</v>
      </c>
      <c r="N46" s="24" t="e">
        <f>MAX(0,F46-H46-#REF!)*J46/1000000 + H46*K46/1000000 +#REF!* L46/1000000</f>
        <v>#REF!</v>
      </c>
      <c r="O46" s="24">
        <f t="shared" si="2"/>
        <v>3.9599999999999998E-4</v>
      </c>
      <c r="P46" s="24" t="e">
        <f t="shared" si="3"/>
        <v>#REF!</v>
      </c>
      <c r="Q46" s="22" t="s">
        <v>107</v>
      </c>
      <c r="R46" s="22" t="s">
        <v>108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</row>
    <row r="47" spans="1:45" ht="44" customHeight="1">
      <c r="A47" s="25" t="s">
        <v>14</v>
      </c>
      <c r="B47" s="26" t="s">
        <v>103</v>
      </c>
      <c r="C47" s="25" t="s">
        <v>104</v>
      </c>
      <c r="D47" s="25" t="s">
        <v>112</v>
      </c>
      <c r="E47" s="26" t="s">
        <v>106</v>
      </c>
      <c r="F47" s="26">
        <v>3382</v>
      </c>
      <c r="G47" s="26">
        <v>416</v>
      </c>
      <c r="H47" s="26">
        <v>0</v>
      </c>
      <c r="I47" s="26">
        <v>3798</v>
      </c>
      <c r="J47" s="26">
        <v>0.25</v>
      </c>
      <c r="K47" s="26">
        <v>2.5000000000000001E-2</v>
      </c>
      <c r="L47" s="26">
        <v>0</v>
      </c>
      <c r="M47" s="26">
        <v>1.5</v>
      </c>
      <c r="N47" s="27" t="e">
        <f>MAX(0,F47-H47-#REF!)*J47/1000000 + H47*K47/1000000 +#REF!* L47/1000000</f>
        <v>#REF!</v>
      </c>
      <c r="O47" s="27">
        <f t="shared" si="2"/>
        <v>6.2399999999999999E-4</v>
      </c>
      <c r="P47" s="27" t="e">
        <f t="shared" si="3"/>
        <v>#REF!</v>
      </c>
      <c r="Q47" s="25" t="s">
        <v>107</v>
      </c>
      <c r="R47" s="25" t="s">
        <v>108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</row>
    <row r="48" spans="1:45" ht="44" customHeight="1">
      <c r="A48" s="22" t="s">
        <v>14</v>
      </c>
      <c r="B48" s="23" t="s">
        <v>103</v>
      </c>
      <c r="C48" s="22" t="s">
        <v>104</v>
      </c>
      <c r="D48" s="22" t="s">
        <v>112</v>
      </c>
      <c r="E48" s="23" t="s">
        <v>106</v>
      </c>
      <c r="F48" s="23">
        <v>6108</v>
      </c>
      <c r="G48" s="23">
        <v>431</v>
      </c>
      <c r="H48" s="23">
        <v>0</v>
      </c>
      <c r="I48" s="23">
        <v>6539</v>
      </c>
      <c r="J48" s="23">
        <v>0.25</v>
      </c>
      <c r="K48" s="23">
        <v>2.5000000000000001E-2</v>
      </c>
      <c r="L48" s="23">
        <v>0</v>
      </c>
      <c r="M48" s="23">
        <v>1.5</v>
      </c>
      <c r="N48" s="24" t="e">
        <f>MAX(0,F48-H48-#REF!)*J48/1000000 + H48*K48/1000000 +#REF!* L48/1000000</f>
        <v>#REF!</v>
      </c>
      <c r="O48" s="24">
        <f t="shared" si="2"/>
        <v>6.4650000000000005E-4</v>
      </c>
      <c r="P48" s="24" t="e">
        <f t="shared" si="3"/>
        <v>#REF!</v>
      </c>
      <c r="Q48" s="22" t="s">
        <v>107</v>
      </c>
      <c r="R48" s="22" t="s">
        <v>108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</row>
    <row r="49" spans="1:45" ht="44" customHeight="1">
      <c r="A49" s="25" t="s">
        <v>18</v>
      </c>
      <c r="B49" s="26" t="s">
        <v>113</v>
      </c>
      <c r="C49" s="25" t="s">
        <v>114</v>
      </c>
      <c r="D49" s="25" t="s">
        <v>105</v>
      </c>
      <c r="E49" s="26" t="s">
        <v>106</v>
      </c>
      <c r="F49" s="26">
        <v>7572</v>
      </c>
      <c r="G49" s="26">
        <v>606</v>
      </c>
      <c r="H49" s="26">
        <v>0</v>
      </c>
      <c r="I49" s="26">
        <v>8178</v>
      </c>
      <c r="J49" s="26">
        <v>3</v>
      </c>
      <c r="K49" s="26">
        <v>0.3</v>
      </c>
      <c r="L49" s="26">
        <v>3.75</v>
      </c>
      <c r="M49" s="26">
        <v>15</v>
      </c>
      <c r="N49" s="27" t="e">
        <f>MAX(0,F49-H49-#REF!)*J49/1000000 + H49*K49/1000000 +#REF!* L49/1000000</f>
        <v>#REF!</v>
      </c>
      <c r="O49" s="27">
        <f t="shared" si="2"/>
        <v>9.0900000000000009E-3</v>
      </c>
      <c r="P49" s="27" t="e">
        <f t="shared" si="3"/>
        <v>#REF!</v>
      </c>
      <c r="Q49" s="25" t="s">
        <v>115</v>
      </c>
      <c r="R49" s="25" t="s">
        <v>108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</row>
    <row r="50" spans="1:45" ht="44" customHeight="1">
      <c r="A50" s="22" t="s">
        <v>18</v>
      </c>
      <c r="B50" s="23" t="s">
        <v>113</v>
      </c>
      <c r="C50" s="22" t="s">
        <v>114</v>
      </c>
      <c r="D50" s="22" t="s">
        <v>109</v>
      </c>
      <c r="E50" s="23" t="s">
        <v>106</v>
      </c>
      <c r="F50" s="23">
        <v>3744</v>
      </c>
      <c r="G50" s="23">
        <v>33</v>
      </c>
      <c r="H50" s="23">
        <v>0</v>
      </c>
      <c r="I50" s="23">
        <v>3777</v>
      </c>
      <c r="J50" s="23">
        <v>3</v>
      </c>
      <c r="K50" s="23">
        <v>0.3</v>
      </c>
      <c r="L50" s="23">
        <v>3.75</v>
      </c>
      <c r="M50" s="23">
        <v>15</v>
      </c>
      <c r="N50" s="24" t="e">
        <f>MAX(0,F50-H50-#REF!)*J50/1000000 + H50*K50/1000000 +#REF!* L50/1000000</f>
        <v>#REF!</v>
      </c>
      <c r="O50" s="24">
        <f t="shared" si="2"/>
        <v>4.95E-4</v>
      </c>
      <c r="P50" s="24" t="e">
        <f t="shared" si="3"/>
        <v>#REF!</v>
      </c>
      <c r="Q50" s="22" t="s">
        <v>115</v>
      </c>
      <c r="R50" s="22" t="s">
        <v>108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</row>
    <row r="51" spans="1:45" ht="44" customHeight="1">
      <c r="A51" s="25" t="s">
        <v>18</v>
      </c>
      <c r="B51" s="26" t="s">
        <v>113</v>
      </c>
      <c r="C51" s="25" t="s">
        <v>114</v>
      </c>
      <c r="D51" s="25" t="s">
        <v>109</v>
      </c>
      <c r="E51" s="26" t="s">
        <v>106</v>
      </c>
      <c r="F51" s="26">
        <v>9292</v>
      </c>
      <c r="G51" s="26">
        <v>33</v>
      </c>
      <c r="H51" s="26">
        <v>0</v>
      </c>
      <c r="I51" s="26">
        <v>9325</v>
      </c>
      <c r="J51" s="26">
        <v>3</v>
      </c>
      <c r="K51" s="26">
        <v>0.3</v>
      </c>
      <c r="L51" s="26">
        <v>3.75</v>
      </c>
      <c r="M51" s="26">
        <v>15</v>
      </c>
      <c r="N51" s="27" t="e">
        <f>MAX(0,F51-H51-#REF!)*J51/1000000 + H51*K51/1000000 +#REF!* L51/1000000</f>
        <v>#REF!</v>
      </c>
      <c r="O51" s="27">
        <f t="shared" si="2"/>
        <v>4.95E-4</v>
      </c>
      <c r="P51" s="27" t="e">
        <f t="shared" si="3"/>
        <v>#REF!</v>
      </c>
      <c r="Q51" s="25" t="s">
        <v>115</v>
      </c>
      <c r="R51" s="25" t="s">
        <v>108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</row>
    <row r="52" spans="1:45" ht="44" customHeight="1">
      <c r="A52" s="22" t="s">
        <v>18</v>
      </c>
      <c r="B52" s="23" t="s">
        <v>113</v>
      </c>
      <c r="C52" s="22" t="s">
        <v>114</v>
      </c>
      <c r="D52" s="22" t="s">
        <v>109</v>
      </c>
      <c r="E52" s="23" t="s">
        <v>106</v>
      </c>
      <c r="F52" s="23">
        <v>2666</v>
      </c>
      <c r="G52" s="23">
        <v>33</v>
      </c>
      <c r="H52" s="23">
        <v>0</v>
      </c>
      <c r="I52" s="23">
        <v>2699</v>
      </c>
      <c r="J52" s="23">
        <v>3</v>
      </c>
      <c r="K52" s="23">
        <v>0.3</v>
      </c>
      <c r="L52" s="23">
        <v>3.75</v>
      </c>
      <c r="M52" s="23">
        <v>15</v>
      </c>
      <c r="N52" s="24" t="e">
        <f>MAX(0,F52-H52-#REF!)*J52/1000000 + H52*K52/1000000 +#REF!* L52/1000000</f>
        <v>#REF!</v>
      </c>
      <c r="O52" s="24">
        <f t="shared" si="2"/>
        <v>4.95E-4</v>
      </c>
      <c r="P52" s="24" t="e">
        <f t="shared" si="3"/>
        <v>#REF!</v>
      </c>
      <c r="Q52" s="22" t="s">
        <v>115</v>
      </c>
      <c r="R52" s="22" t="s">
        <v>108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</row>
    <row r="53" spans="1:45" ht="44" customHeight="1">
      <c r="A53" s="25" t="s">
        <v>18</v>
      </c>
      <c r="B53" s="26" t="s">
        <v>113</v>
      </c>
      <c r="C53" s="25" t="s">
        <v>114</v>
      </c>
      <c r="D53" s="25" t="s">
        <v>109</v>
      </c>
      <c r="E53" s="26" t="s">
        <v>106</v>
      </c>
      <c r="F53" s="26">
        <v>6544</v>
      </c>
      <c r="G53" s="26">
        <v>33</v>
      </c>
      <c r="H53" s="26">
        <v>0</v>
      </c>
      <c r="I53" s="26">
        <v>6577</v>
      </c>
      <c r="J53" s="26">
        <v>3</v>
      </c>
      <c r="K53" s="26">
        <v>0.3</v>
      </c>
      <c r="L53" s="26">
        <v>3.75</v>
      </c>
      <c r="M53" s="26">
        <v>15</v>
      </c>
      <c r="N53" s="27" t="e">
        <f>MAX(0,F53-H53-#REF!)*J53/1000000 + H53*K53/1000000 +#REF!* L53/1000000</f>
        <v>#REF!</v>
      </c>
      <c r="O53" s="27">
        <f t="shared" si="2"/>
        <v>4.95E-4</v>
      </c>
      <c r="P53" s="27" t="e">
        <f t="shared" si="3"/>
        <v>#REF!</v>
      </c>
      <c r="Q53" s="25" t="s">
        <v>115</v>
      </c>
      <c r="R53" s="25" t="s">
        <v>108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</row>
    <row r="54" spans="1:45" ht="44" customHeight="1">
      <c r="A54" s="22" t="s">
        <v>18</v>
      </c>
      <c r="B54" s="23" t="s">
        <v>113</v>
      </c>
      <c r="C54" s="22" t="s">
        <v>114</v>
      </c>
      <c r="D54" s="22" t="s">
        <v>109</v>
      </c>
      <c r="E54" s="23" t="s">
        <v>106</v>
      </c>
      <c r="F54" s="23">
        <v>3869</v>
      </c>
      <c r="G54" s="23">
        <v>33</v>
      </c>
      <c r="H54" s="23">
        <v>0</v>
      </c>
      <c r="I54" s="23">
        <v>3902</v>
      </c>
      <c r="J54" s="23">
        <v>3</v>
      </c>
      <c r="K54" s="23">
        <v>0.3</v>
      </c>
      <c r="L54" s="23">
        <v>3.75</v>
      </c>
      <c r="M54" s="23">
        <v>15</v>
      </c>
      <c r="N54" s="24" t="e">
        <f>MAX(0,F54-H54-#REF!)*J54/1000000 + H54*K54/1000000 +#REF!* L54/1000000</f>
        <v>#REF!</v>
      </c>
      <c r="O54" s="24">
        <f t="shared" si="2"/>
        <v>4.95E-4</v>
      </c>
      <c r="P54" s="24" t="e">
        <f t="shared" si="3"/>
        <v>#REF!</v>
      </c>
      <c r="Q54" s="22" t="s">
        <v>115</v>
      </c>
      <c r="R54" s="22" t="s">
        <v>108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</row>
    <row r="55" spans="1:45" ht="44" customHeight="1">
      <c r="A55" s="25" t="s">
        <v>18</v>
      </c>
      <c r="B55" s="26" t="s">
        <v>113</v>
      </c>
      <c r="C55" s="25" t="s">
        <v>114</v>
      </c>
      <c r="D55" s="25" t="s">
        <v>109</v>
      </c>
      <c r="E55" s="26" t="s">
        <v>106</v>
      </c>
      <c r="F55" s="26">
        <v>2574</v>
      </c>
      <c r="G55" s="26">
        <v>33</v>
      </c>
      <c r="H55" s="26">
        <v>0</v>
      </c>
      <c r="I55" s="26">
        <v>2607</v>
      </c>
      <c r="J55" s="26">
        <v>3</v>
      </c>
      <c r="K55" s="26">
        <v>0.3</v>
      </c>
      <c r="L55" s="26">
        <v>3.75</v>
      </c>
      <c r="M55" s="26">
        <v>15</v>
      </c>
      <c r="N55" s="27" t="e">
        <f>MAX(0,F55-H55-#REF!)*J55/1000000 + H55*K55/1000000 +#REF!* L55/1000000</f>
        <v>#REF!</v>
      </c>
      <c r="O55" s="27">
        <f t="shared" si="2"/>
        <v>4.95E-4</v>
      </c>
      <c r="P55" s="27" t="e">
        <f t="shared" si="3"/>
        <v>#REF!</v>
      </c>
      <c r="Q55" s="25" t="s">
        <v>115</v>
      </c>
      <c r="R55" s="25" t="s">
        <v>108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</row>
    <row r="56" spans="1:45" ht="44" customHeight="1">
      <c r="A56" s="22" t="s">
        <v>18</v>
      </c>
      <c r="B56" s="23" t="s">
        <v>113</v>
      </c>
      <c r="C56" s="22" t="s">
        <v>114</v>
      </c>
      <c r="D56" s="22" t="s">
        <v>109</v>
      </c>
      <c r="E56" s="23" t="s">
        <v>106</v>
      </c>
      <c r="F56" s="23">
        <v>2592</v>
      </c>
      <c r="G56" s="23">
        <v>33</v>
      </c>
      <c r="H56" s="23">
        <v>0</v>
      </c>
      <c r="I56" s="23">
        <v>2625</v>
      </c>
      <c r="J56" s="23">
        <v>3</v>
      </c>
      <c r="K56" s="23">
        <v>0.3</v>
      </c>
      <c r="L56" s="23">
        <v>3.75</v>
      </c>
      <c r="M56" s="23">
        <v>15</v>
      </c>
      <c r="N56" s="24" t="e">
        <f>MAX(0,F56-H56-#REF!)*J56/1000000 + H56*K56/1000000 +#REF!* L56/1000000</f>
        <v>#REF!</v>
      </c>
      <c r="O56" s="24">
        <f t="shared" si="2"/>
        <v>4.95E-4</v>
      </c>
      <c r="P56" s="24" t="e">
        <f t="shared" si="3"/>
        <v>#REF!</v>
      </c>
      <c r="Q56" s="22" t="s">
        <v>115</v>
      </c>
      <c r="R56" s="22" t="s">
        <v>108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</row>
    <row r="57" spans="1:45" ht="44" customHeight="1">
      <c r="A57" s="25" t="s">
        <v>18</v>
      </c>
      <c r="B57" s="26" t="s">
        <v>113</v>
      </c>
      <c r="C57" s="25" t="s">
        <v>114</v>
      </c>
      <c r="D57" s="25" t="s">
        <v>109</v>
      </c>
      <c r="E57" s="26" t="s">
        <v>106</v>
      </c>
      <c r="F57" s="26">
        <v>3227</v>
      </c>
      <c r="G57" s="26">
        <v>33</v>
      </c>
      <c r="H57" s="26">
        <v>0</v>
      </c>
      <c r="I57" s="26">
        <v>3260</v>
      </c>
      <c r="J57" s="26">
        <v>3</v>
      </c>
      <c r="K57" s="26">
        <v>0.3</v>
      </c>
      <c r="L57" s="26">
        <v>3.75</v>
      </c>
      <c r="M57" s="26">
        <v>15</v>
      </c>
      <c r="N57" s="27" t="e">
        <f>MAX(0,F57-H57-#REF!)*J57/1000000 + H57*K57/1000000 +#REF!* L57/1000000</f>
        <v>#REF!</v>
      </c>
      <c r="O57" s="27">
        <f t="shared" si="2"/>
        <v>4.95E-4</v>
      </c>
      <c r="P57" s="27" t="e">
        <f t="shared" si="3"/>
        <v>#REF!</v>
      </c>
      <c r="Q57" s="25" t="s">
        <v>115</v>
      </c>
      <c r="R57" s="25" t="s">
        <v>108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</row>
    <row r="58" spans="1:45" ht="44" customHeight="1">
      <c r="A58" s="22" t="s">
        <v>18</v>
      </c>
      <c r="B58" s="23" t="s">
        <v>113</v>
      </c>
      <c r="C58" s="22" t="s">
        <v>114</v>
      </c>
      <c r="D58" s="22" t="s">
        <v>109</v>
      </c>
      <c r="E58" s="23" t="s">
        <v>106</v>
      </c>
      <c r="F58" s="23">
        <v>5774</v>
      </c>
      <c r="G58" s="23">
        <v>33</v>
      </c>
      <c r="H58" s="23">
        <v>0</v>
      </c>
      <c r="I58" s="23">
        <v>5807</v>
      </c>
      <c r="J58" s="23">
        <v>3</v>
      </c>
      <c r="K58" s="23">
        <v>0.3</v>
      </c>
      <c r="L58" s="23">
        <v>3.75</v>
      </c>
      <c r="M58" s="23">
        <v>15</v>
      </c>
      <c r="N58" s="24" t="e">
        <f>MAX(0,F58-H58-#REF!)*J58/1000000 + H58*K58/1000000 +#REF!* L58/1000000</f>
        <v>#REF!</v>
      </c>
      <c r="O58" s="24">
        <f t="shared" si="2"/>
        <v>4.95E-4</v>
      </c>
      <c r="P58" s="24" t="e">
        <f t="shared" si="3"/>
        <v>#REF!</v>
      </c>
      <c r="Q58" s="22" t="s">
        <v>115</v>
      </c>
      <c r="R58" s="22" t="s">
        <v>108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</row>
    <row r="59" spans="1:45" ht="44" customHeight="1">
      <c r="A59" s="25" t="s">
        <v>18</v>
      </c>
      <c r="B59" s="26" t="s">
        <v>113</v>
      </c>
      <c r="C59" s="25" t="s">
        <v>114</v>
      </c>
      <c r="D59" s="25" t="s">
        <v>109</v>
      </c>
      <c r="E59" s="26" t="s">
        <v>106</v>
      </c>
      <c r="F59" s="26">
        <v>2260</v>
      </c>
      <c r="G59" s="26">
        <v>33</v>
      </c>
      <c r="H59" s="26">
        <v>0</v>
      </c>
      <c r="I59" s="26">
        <v>2293</v>
      </c>
      <c r="J59" s="26">
        <v>3</v>
      </c>
      <c r="K59" s="26">
        <v>0.3</v>
      </c>
      <c r="L59" s="26">
        <v>3.75</v>
      </c>
      <c r="M59" s="26">
        <v>15</v>
      </c>
      <c r="N59" s="27" t="e">
        <f>MAX(0,F59-H59-#REF!)*J59/1000000 + H59*K59/1000000 +#REF!* L59/1000000</f>
        <v>#REF!</v>
      </c>
      <c r="O59" s="27">
        <f t="shared" si="2"/>
        <v>4.95E-4</v>
      </c>
      <c r="P59" s="27" t="e">
        <f t="shared" si="3"/>
        <v>#REF!</v>
      </c>
      <c r="Q59" s="25" t="s">
        <v>115</v>
      </c>
      <c r="R59" s="25" t="s">
        <v>108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</row>
    <row r="60" spans="1:45" ht="44" customHeight="1">
      <c r="A60" s="22" t="s">
        <v>18</v>
      </c>
      <c r="B60" s="23" t="s">
        <v>113</v>
      </c>
      <c r="C60" s="22" t="s">
        <v>114</v>
      </c>
      <c r="D60" s="22" t="s">
        <v>109</v>
      </c>
      <c r="E60" s="23" t="s">
        <v>106</v>
      </c>
      <c r="F60" s="23">
        <v>3516</v>
      </c>
      <c r="G60" s="23">
        <v>33</v>
      </c>
      <c r="H60" s="23">
        <v>0</v>
      </c>
      <c r="I60" s="23">
        <v>3549</v>
      </c>
      <c r="J60" s="23">
        <v>3</v>
      </c>
      <c r="K60" s="23">
        <v>0.3</v>
      </c>
      <c r="L60" s="23">
        <v>3.75</v>
      </c>
      <c r="M60" s="23">
        <v>15</v>
      </c>
      <c r="N60" s="24" t="e">
        <f>MAX(0,F60-H60-#REF!)*J60/1000000 + H60*K60/1000000 +#REF!* L60/1000000</f>
        <v>#REF!</v>
      </c>
      <c r="O60" s="24">
        <f t="shared" si="2"/>
        <v>4.95E-4</v>
      </c>
      <c r="P60" s="24" t="e">
        <f t="shared" si="3"/>
        <v>#REF!</v>
      </c>
      <c r="Q60" s="22" t="s">
        <v>115</v>
      </c>
      <c r="R60" s="22" t="s">
        <v>108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</row>
    <row r="61" spans="1:45" ht="44" customHeight="1">
      <c r="A61" s="25" t="s">
        <v>18</v>
      </c>
      <c r="B61" s="26" t="s">
        <v>113</v>
      </c>
      <c r="C61" s="25" t="s">
        <v>114</v>
      </c>
      <c r="D61" s="25" t="s">
        <v>109</v>
      </c>
      <c r="E61" s="26" t="s">
        <v>106</v>
      </c>
      <c r="F61" s="26">
        <v>3646</v>
      </c>
      <c r="G61" s="26">
        <v>33</v>
      </c>
      <c r="H61" s="26">
        <v>0</v>
      </c>
      <c r="I61" s="26">
        <v>3679</v>
      </c>
      <c r="J61" s="26">
        <v>3</v>
      </c>
      <c r="K61" s="26">
        <v>0.3</v>
      </c>
      <c r="L61" s="26">
        <v>3.75</v>
      </c>
      <c r="M61" s="26">
        <v>15</v>
      </c>
      <c r="N61" s="27" t="e">
        <f>MAX(0,F61-H61-#REF!)*J61/1000000 + H61*K61/1000000 +#REF!* L61/1000000</f>
        <v>#REF!</v>
      </c>
      <c r="O61" s="27">
        <f t="shared" si="2"/>
        <v>4.95E-4</v>
      </c>
      <c r="P61" s="27" t="e">
        <f t="shared" si="3"/>
        <v>#REF!</v>
      </c>
      <c r="Q61" s="25" t="s">
        <v>115</v>
      </c>
      <c r="R61" s="25" t="s">
        <v>108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</row>
    <row r="62" spans="1:45" ht="44" customHeight="1">
      <c r="A62" s="22" t="s">
        <v>18</v>
      </c>
      <c r="B62" s="23" t="s">
        <v>113</v>
      </c>
      <c r="C62" s="22" t="s">
        <v>114</v>
      </c>
      <c r="D62" s="22" t="s">
        <v>110</v>
      </c>
      <c r="E62" s="23" t="s">
        <v>106</v>
      </c>
      <c r="F62" s="23">
        <v>2556</v>
      </c>
      <c r="G62" s="23">
        <v>33</v>
      </c>
      <c r="H62" s="23">
        <v>0</v>
      </c>
      <c r="I62" s="23">
        <v>2589</v>
      </c>
      <c r="J62" s="23">
        <v>3</v>
      </c>
      <c r="K62" s="23">
        <v>0.3</v>
      </c>
      <c r="L62" s="23">
        <v>3.75</v>
      </c>
      <c r="M62" s="23">
        <v>15</v>
      </c>
      <c r="N62" s="24" t="e">
        <f>MAX(0,F62-H62-#REF!)*J62/1000000 + H62*K62/1000000 +#REF!* L62/1000000</f>
        <v>#REF!</v>
      </c>
      <c r="O62" s="24">
        <f t="shared" si="2"/>
        <v>4.95E-4</v>
      </c>
      <c r="P62" s="24" t="e">
        <f t="shared" si="3"/>
        <v>#REF!</v>
      </c>
      <c r="Q62" s="22" t="s">
        <v>115</v>
      </c>
      <c r="R62" s="22" t="s">
        <v>108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</row>
    <row r="63" spans="1:45" ht="44" customHeight="1">
      <c r="A63" s="25" t="s">
        <v>18</v>
      </c>
      <c r="B63" s="26" t="s">
        <v>113</v>
      </c>
      <c r="C63" s="25" t="s">
        <v>114</v>
      </c>
      <c r="D63" s="25" t="s">
        <v>110</v>
      </c>
      <c r="E63" s="26" t="s">
        <v>106</v>
      </c>
      <c r="F63" s="26">
        <v>3209</v>
      </c>
      <c r="G63" s="26">
        <v>33</v>
      </c>
      <c r="H63" s="26">
        <v>0</v>
      </c>
      <c r="I63" s="26">
        <v>3242</v>
      </c>
      <c r="J63" s="26">
        <v>3</v>
      </c>
      <c r="K63" s="26">
        <v>0.3</v>
      </c>
      <c r="L63" s="26">
        <v>3.75</v>
      </c>
      <c r="M63" s="26">
        <v>15</v>
      </c>
      <c r="N63" s="27" t="e">
        <f>MAX(0,F63-H63-#REF!)*J63/1000000 + H63*K63/1000000 +#REF!* L63/1000000</f>
        <v>#REF!</v>
      </c>
      <c r="O63" s="27">
        <f t="shared" si="2"/>
        <v>4.95E-4</v>
      </c>
      <c r="P63" s="27" t="e">
        <f t="shared" si="3"/>
        <v>#REF!</v>
      </c>
      <c r="Q63" s="25" t="s">
        <v>115</v>
      </c>
      <c r="R63" s="25" t="s">
        <v>108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</row>
    <row r="64" spans="1:45" ht="44" customHeight="1">
      <c r="A64" s="22" t="s">
        <v>18</v>
      </c>
      <c r="B64" s="23" t="s">
        <v>113</v>
      </c>
      <c r="C64" s="22" t="s">
        <v>114</v>
      </c>
      <c r="D64" s="22" t="s">
        <v>110</v>
      </c>
      <c r="E64" s="23" t="s">
        <v>106</v>
      </c>
      <c r="F64" s="23">
        <v>2242</v>
      </c>
      <c r="G64" s="23">
        <v>33</v>
      </c>
      <c r="H64" s="23">
        <v>0</v>
      </c>
      <c r="I64" s="23">
        <v>2275</v>
      </c>
      <c r="J64" s="23">
        <v>3</v>
      </c>
      <c r="K64" s="23">
        <v>0.3</v>
      </c>
      <c r="L64" s="23">
        <v>3.75</v>
      </c>
      <c r="M64" s="23">
        <v>15</v>
      </c>
      <c r="N64" s="24" t="e">
        <f>MAX(0,F64-H64-#REF!)*J64/1000000 + H64*K64/1000000 +#REF!* L64/1000000</f>
        <v>#REF!</v>
      </c>
      <c r="O64" s="24">
        <f t="shared" si="2"/>
        <v>4.95E-4</v>
      </c>
      <c r="P64" s="24" t="e">
        <f t="shared" si="3"/>
        <v>#REF!</v>
      </c>
      <c r="Q64" s="22" t="s">
        <v>115</v>
      </c>
      <c r="R64" s="22" t="s">
        <v>108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</row>
    <row r="65" spans="1:45" ht="44" customHeight="1">
      <c r="A65" s="25" t="s">
        <v>18</v>
      </c>
      <c r="B65" s="26" t="s">
        <v>113</v>
      </c>
      <c r="C65" s="25" t="s">
        <v>114</v>
      </c>
      <c r="D65" s="25" t="s">
        <v>110</v>
      </c>
      <c r="E65" s="26" t="s">
        <v>106</v>
      </c>
      <c r="F65" s="26">
        <v>6526</v>
      </c>
      <c r="G65" s="26">
        <v>33</v>
      </c>
      <c r="H65" s="26">
        <v>0</v>
      </c>
      <c r="I65" s="26">
        <v>6559</v>
      </c>
      <c r="J65" s="26">
        <v>3</v>
      </c>
      <c r="K65" s="26">
        <v>0.3</v>
      </c>
      <c r="L65" s="26">
        <v>3.75</v>
      </c>
      <c r="M65" s="26">
        <v>15</v>
      </c>
      <c r="N65" s="27" t="e">
        <f>MAX(0,F65-H65-#REF!)*J65/1000000 + H65*K65/1000000 +#REF!* L65/1000000</f>
        <v>#REF!</v>
      </c>
      <c r="O65" s="27">
        <f t="shared" si="2"/>
        <v>4.95E-4</v>
      </c>
      <c r="P65" s="27" t="e">
        <f t="shared" si="3"/>
        <v>#REF!</v>
      </c>
      <c r="Q65" s="25" t="s">
        <v>115</v>
      </c>
      <c r="R65" s="25" t="s">
        <v>108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</row>
    <row r="66" spans="1:45" ht="44" customHeight="1">
      <c r="A66" s="22" t="s">
        <v>18</v>
      </c>
      <c r="B66" s="23" t="s">
        <v>113</v>
      </c>
      <c r="C66" s="22" t="s">
        <v>114</v>
      </c>
      <c r="D66" s="22" t="s">
        <v>110</v>
      </c>
      <c r="E66" s="23" t="s">
        <v>106</v>
      </c>
      <c r="F66" s="23">
        <v>9274</v>
      </c>
      <c r="G66" s="23">
        <v>33</v>
      </c>
      <c r="H66" s="23">
        <v>0</v>
      </c>
      <c r="I66" s="23">
        <v>9307</v>
      </c>
      <c r="J66" s="23">
        <v>3</v>
      </c>
      <c r="K66" s="23">
        <v>0.3</v>
      </c>
      <c r="L66" s="23">
        <v>3.75</v>
      </c>
      <c r="M66" s="23">
        <v>15</v>
      </c>
      <c r="N66" s="24" t="e">
        <f>MAX(0,F66-H66-#REF!)*J66/1000000 + H66*K66/1000000 +#REF!* L66/1000000</f>
        <v>#REF!</v>
      </c>
      <c r="O66" s="24">
        <f t="shared" ref="O66:O97" si="4">G66*M66/1000000</f>
        <v>4.95E-4</v>
      </c>
      <c r="P66" s="24" t="e">
        <f t="shared" ref="P66:P97" si="5">N66+O66</f>
        <v>#REF!</v>
      </c>
      <c r="Q66" s="22" t="s">
        <v>115</v>
      </c>
      <c r="R66" s="22" t="s">
        <v>108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</row>
    <row r="67" spans="1:45" ht="44" customHeight="1">
      <c r="A67" s="25" t="s">
        <v>18</v>
      </c>
      <c r="B67" s="26" t="s">
        <v>113</v>
      </c>
      <c r="C67" s="25" t="s">
        <v>114</v>
      </c>
      <c r="D67" s="25" t="s">
        <v>110</v>
      </c>
      <c r="E67" s="26" t="s">
        <v>106</v>
      </c>
      <c r="F67" s="26">
        <v>3726</v>
      </c>
      <c r="G67" s="26">
        <v>222</v>
      </c>
      <c r="H67" s="26">
        <v>0</v>
      </c>
      <c r="I67" s="26">
        <v>3948</v>
      </c>
      <c r="J67" s="26">
        <v>3</v>
      </c>
      <c r="K67" s="26">
        <v>0.3</v>
      </c>
      <c r="L67" s="26">
        <v>3.75</v>
      </c>
      <c r="M67" s="26">
        <v>15</v>
      </c>
      <c r="N67" s="27" t="e">
        <f>MAX(0,F67-H67-#REF!)*J67/1000000 + H67*K67/1000000 +#REF!* L67/1000000</f>
        <v>#REF!</v>
      </c>
      <c r="O67" s="27">
        <f t="shared" si="4"/>
        <v>3.3300000000000001E-3</v>
      </c>
      <c r="P67" s="27" t="e">
        <f t="shared" si="5"/>
        <v>#REF!</v>
      </c>
      <c r="Q67" s="25" t="s">
        <v>115</v>
      </c>
      <c r="R67" s="25" t="s">
        <v>108</v>
      </c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</row>
    <row r="68" spans="1:45" ht="44" customHeight="1">
      <c r="A68" s="22" t="s">
        <v>18</v>
      </c>
      <c r="B68" s="23" t="s">
        <v>113</v>
      </c>
      <c r="C68" s="22" t="s">
        <v>114</v>
      </c>
      <c r="D68" s="22" t="s">
        <v>110</v>
      </c>
      <c r="E68" s="23" t="s">
        <v>106</v>
      </c>
      <c r="F68" s="23">
        <v>3851</v>
      </c>
      <c r="G68" s="23">
        <v>230</v>
      </c>
      <c r="H68" s="23">
        <v>0</v>
      </c>
      <c r="I68" s="23">
        <v>4081</v>
      </c>
      <c r="J68" s="23">
        <v>3</v>
      </c>
      <c r="K68" s="23">
        <v>0.3</v>
      </c>
      <c r="L68" s="23">
        <v>3.75</v>
      </c>
      <c r="M68" s="23">
        <v>15</v>
      </c>
      <c r="N68" s="24" t="e">
        <f>MAX(0,F68-H68-#REF!)*J68/1000000 + H68*K68/1000000 +#REF!* L68/1000000</f>
        <v>#REF!</v>
      </c>
      <c r="O68" s="24">
        <f t="shared" si="4"/>
        <v>3.4499999999999999E-3</v>
      </c>
      <c r="P68" s="24" t="e">
        <f t="shared" si="5"/>
        <v>#REF!</v>
      </c>
      <c r="Q68" s="22" t="s">
        <v>115</v>
      </c>
      <c r="R68" s="22" t="s">
        <v>108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</row>
    <row r="69" spans="1:45" ht="44" customHeight="1">
      <c r="A69" s="25" t="s">
        <v>18</v>
      </c>
      <c r="B69" s="26" t="s">
        <v>113</v>
      </c>
      <c r="C69" s="25" t="s">
        <v>114</v>
      </c>
      <c r="D69" s="25" t="s">
        <v>110</v>
      </c>
      <c r="E69" s="26" t="s">
        <v>106</v>
      </c>
      <c r="F69" s="26">
        <v>2574</v>
      </c>
      <c r="G69" s="26">
        <v>283</v>
      </c>
      <c r="H69" s="26">
        <v>0</v>
      </c>
      <c r="I69" s="26">
        <v>2857</v>
      </c>
      <c r="J69" s="26">
        <v>3</v>
      </c>
      <c r="K69" s="26">
        <v>0.3</v>
      </c>
      <c r="L69" s="26">
        <v>3.75</v>
      </c>
      <c r="M69" s="26">
        <v>15</v>
      </c>
      <c r="N69" s="27" t="e">
        <f>MAX(0,F69-H69-#REF!)*J69/1000000 + H69*K69/1000000 +#REF!* L69/1000000</f>
        <v>#REF!</v>
      </c>
      <c r="O69" s="27">
        <f t="shared" si="4"/>
        <v>4.2449999999999996E-3</v>
      </c>
      <c r="P69" s="27" t="e">
        <f t="shared" si="5"/>
        <v>#REF!</v>
      </c>
      <c r="Q69" s="25" t="s">
        <v>115</v>
      </c>
      <c r="R69" s="25" t="s">
        <v>108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</row>
    <row r="70" spans="1:45" ht="44" customHeight="1">
      <c r="A70" s="22" t="s">
        <v>18</v>
      </c>
      <c r="B70" s="23" t="s">
        <v>113</v>
      </c>
      <c r="C70" s="22" t="s">
        <v>114</v>
      </c>
      <c r="D70" s="22" t="s">
        <v>110</v>
      </c>
      <c r="E70" s="23" t="s">
        <v>106</v>
      </c>
      <c r="F70" s="23">
        <v>3628</v>
      </c>
      <c r="G70" s="23">
        <v>257</v>
      </c>
      <c r="H70" s="23">
        <v>0</v>
      </c>
      <c r="I70" s="23">
        <v>3885</v>
      </c>
      <c r="J70" s="23">
        <v>3</v>
      </c>
      <c r="K70" s="23">
        <v>0.3</v>
      </c>
      <c r="L70" s="23">
        <v>3.75</v>
      </c>
      <c r="M70" s="23">
        <v>15</v>
      </c>
      <c r="N70" s="24" t="e">
        <f>MAX(0,F70-H70-#REF!)*J70/1000000 + H70*K70/1000000 +#REF!* L70/1000000</f>
        <v>#REF!</v>
      </c>
      <c r="O70" s="24">
        <f t="shared" si="4"/>
        <v>3.8549999999999999E-3</v>
      </c>
      <c r="P70" s="24" t="e">
        <f t="shared" si="5"/>
        <v>#REF!</v>
      </c>
      <c r="Q70" s="22" t="s">
        <v>115</v>
      </c>
      <c r="R70" s="22" t="s">
        <v>108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</row>
    <row r="71" spans="1:45" ht="44" customHeight="1">
      <c r="A71" s="25" t="s">
        <v>18</v>
      </c>
      <c r="B71" s="26" t="s">
        <v>113</v>
      </c>
      <c r="C71" s="25" t="s">
        <v>114</v>
      </c>
      <c r="D71" s="25" t="s">
        <v>110</v>
      </c>
      <c r="E71" s="26" t="s">
        <v>106</v>
      </c>
      <c r="F71" s="26">
        <v>2648</v>
      </c>
      <c r="G71" s="26">
        <v>434</v>
      </c>
      <c r="H71" s="26">
        <v>0</v>
      </c>
      <c r="I71" s="26">
        <v>3082</v>
      </c>
      <c r="J71" s="26">
        <v>3</v>
      </c>
      <c r="K71" s="26">
        <v>0.3</v>
      </c>
      <c r="L71" s="26">
        <v>3.75</v>
      </c>
      <c r="M71" s="26">
        <v>15</v>
      </c>
      <c r="N71" s="27" t="e">
        <f>MAX(0,F71-H71-#REF!)*J71/1000000 + H71*K71/1000000 +#REF!* L71/1000000</f>
        <v>#REF!</v>
      </c>
      <c r="O71" s="27">
        <f t="shared" si="4"/>
        <v>6.5100000000000002E-3</v>
      </c>
      <c r="P71" s="27" t="e">
        <f t="shared" si="5"/>
        <v>#REF!</v>
      </c>
      <c r="Q71" s="25" t="s">
        <v>115</v>
      </c>
      <c r="R71" s="25" t="s">
        <v>108</v>
      </c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</row>
    <row r="72" spans="1:45" ht="44" customHeight="1">
      <c r="A72" s="22" t="s">
        <v>18</v>
      </c>
      <c r="B72" s="23" t="s">
        <v>113</v>
      </c>
      <c r="C72" s="22" t="s">
        <v>114</v>
      </c>
      <c r="D72" s="22" t="s">
        <v>110</v>
      </c>
      <c r="E72" s="23" t="s">
        <v>106</v>
      </c>
      <c r="F72" s="23">
        <v>5756</v>
      </c>
      <c r="G72" s="23">
        <v>468</v>
      </c>
      <c r="H72" s="23">
        <v>0</v>
      </c>
      <c r="I72" s="23">
        <v>6224</v>
      </c>
      <c r="J72" s="23">
        <v>3</v>
      </c>
      <c r="K72" s="23">
        <v>0.3</v>
      </c>
      <c r="L72" s="23">
        <v>3.75</v>
      </c>
      <c r="M72" s="23">
        <v>15</v>
      </c>
      <c r="N72" s="24" t="e">
        <f>MAX(0,F72-H72-#REF!)*J72/1000000 + H72*K72/1000000 +#REF!* L72/1000000</f>
        <v>#REF!</v>
      </c>
      <c r="O72" s="24">
        <f t="shared" si="4"/>
        <v>7.0200000000000002E-3</v>
      </c>
      <c r="P72" s="24" t="e">
        <f t="shared" si="5"/>
        <v>#REF!</v>
      </c>
      <c r="Q72" s="22" t="s">
        <v>115</v>
      </c>
      <c r="R72" s="22" t="s">
        <v>108</v>
      </c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</row>
    <row r="73" spans="1:45" ht="44" customHeight="1">
      <c r="A73" s="25" t="s">
        <v>18</v>
      </c>
      <c r="B73" s="26" t="s">
        <v>113</v>
      </c>
      <c r="C73" s="25" t="s">
        <v>114</v>
      </c>
      <c r="D73" s="25" t="s">
        <v>110</v>
      </c>
      <c r="E73" s="26" t="s">
        <v>106</v>
      </c>
      <c r="F73" s="26">
        <v>3498</v>
      </c>
      <c r="G73" s="26">
        <v>477</v>
      </c>
      <c r="H73" s="26">
        <v>0</v>
      </c>
      <c r="I73" s="26">
        <v>3975</v>
      </c>
      <c r="J73" s="26">
        <v>3</v>
      </c>
      <c r="K73" s="26">
        <v>0.3</v>
      </c>
      <c r="L73" s="26">
        <v>3.75</v>
      </c>
      <c r="M73" s="26">
        <v>15</v>
      </c>
      <c r="N73" s="27" t="e">
        <f>MAX(0,F73-H73-#REF!)*J73/1000000 + H73*K73/1000000 +#REF!* L73/1000000</f>
        <v>#REF!</v>
      </c>
      <c r="O73" s="27">
        <f t="shared" si="4"/>
        <v>7.1549999999999999E-3</v>
      </c>
      <c r="P73" s="27" t="e">
        <f t="shared" si="5"/>
        <v>#REF!</v>
      </c>
      <c r="Q73" s="25" t="s">
        <v>115</v>
      </c>
      <c r="R73" s="25" t="s">
        <v>108</v>
      </c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</row>
    <row r="74" spans="1:45" ht="44" customHeight="1">
      <c r="A74" s="22" t="s">
        <v>18</v>
      </c>
      <c r="B74" s="23" t="s">
        <v>113</v>
      </c>
      <c r="C74" s="22" t="s">
        <v>114</v>
      </c>
      <c r="D74" s="22" t="s">
        <v>111</v>
      </c>
      <c r="E74" s="23" t="s">
        <v>106</v>
      </c>
      <c r="F74" s="23">
        <v>2057</v>
      </c>
      <c r="G74" s="23">
        <v>33</v>
      </c>
      <c r="H74" s="23">
        <v>0</v>
      </c>
      <c r="I74" s="23">
        <v>2090</v>
      </c>
      <c r="J74" s="23">
        <v>3</v>
      </c>
      <c r="K74" s="23">
        <v>0.3</v>
      </c>
      <c r="L74" s="23">
        <v>3.75</v>
      </c>
      <c r="M74" s="23">
        <v>15</v>
      </c>
      <c r="N74" s="24" t="e">
        <f>MAX(0,F74-H74-#REF!)*J74/1000000 + H74*K74/1000000 +#REF!* L74/1000000</f>
        <v>#REF!</v>
      </c>
      <c r="O74" s="24">
        <f t="shared" si="4"/>
        <v>4.95E-4</v>
      </c>
      <c r="P74" s="24" t="e">
        <f t="shared" si="5"/>
        <v>#REF!</v>
      </c>
      <c r="Q74" s="22" t="s">
        <v>115</v>
      </c>
      <c r="R74" s="22" t="s">
        <v>108</v>
      </c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</row>
    <row r="75" spans="1:45" ht="44" customHeight="1">
      <c r="A75" s="25" t="s">
        <v>18</v>
      </c>
      <c r="B75" s="26" t="s">
        <v>113</v>
      </c>
      <c r="C75" s="25" t="s">
        <v>114</v>
      </c>
      <c r="D75" s="25" t="s">
        <v>111</v>
      </c>
      <c r="E75" s="26" t="s">
        <v>106</v>
      </c>
      <c r="F75" s="26">
        <v>5257</v>
      </c>
      <c r="G75" s="26">
        <v>33</v>
      </c>
      <c r="H75" s="26">
        <v>0</v>
      </c>
      <c r="I75" s="26">
        <v>5290</v>
      </c>
      <c r="J75" s="26">
        <v>3</v>
      </c>
      <c r="K75" s="26">
        <v>0.3</v>
      </c>
      <c r="L75" s="26">
        <v>3.75</v>
      </c>
      <c r="M75" s="26">
        <v>15</v>
      </c>
      <c r="N75" s="27" t="e">
        <f>MAX(0,F75-H75-#REF!)*J75/1000000 + H75*K75/1000000 +#REF!* L75/1000000</f>
        <v>#REF!</v>
      </c>
      <c r="O75" s="27">
        <f t="shared" si="4"/>
        <v>4.95E-4</v>
      </c>
      <c r="P75" s="27" t="e">
        <f t="shared" si="5"/>
        <v>#REF!</v>
      </c>
      <c r="Q75" s="25" t="s">
        <v>115</v>
      </c>
      <c r="R75" s="25" t="s">
        <v>108</v>
      </c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</row>
    <row r="76" spans="1:45" ht="44" customHeight="1">
      <c r="A76" s="22" t="s">
        <v>18</v>
      </c>
      <c r="B76" s="23" t="s">
        <v>113</v>
      </c>
      <c r="C76" s="22" t="s">
        <v>114</v>
      </c>
      <c r="D76" s="22" t="s">
        <v>111</v>
      </c>
      <c r="E76" s="23" t="s">
        <v>106</v>
      </c>
      <c r="F76" s="23">
        <v>6027</v>
      </c>
      <c r="G76" s="23">
        <v>33</v>
      </c>
      <c r="H76" s="23">
        <v>0</v>
      </c>
      <c r="I76" s="23">
        <v>6060</v>
      </c>
      <c r="J76" s="23">
        <v>3</v>
      </c>
      <c r="K76" s="23">
        <v>0.3</v>
      </c>
      <c r="L76" s="23">
        <v>3.75</v>
      </c>
      <c r="M76" s="23">
        <v>15</v>
      </c>
      <c r="N76" s="24" t="e">
        <f>MAX(0,F76-H76-#REF!)*J76/1000000 + H76*K76/1000000 +#REF!* L76/1000000</f>
        <v>#REF!</v>
      </c>
      <c r="O76" s="24">
        <f t="shared" si="4"/>
        <v>4.95E-4</v>
      </c>
      <c r="P76" s="24" t="e">
        <f t="shared" si="5"/>
        <v>#REF!</v>
      </c>
      <c r="Q76" s="22" t="s">
        <v>115</v>
      </c>
      <c r="R76" s="22" t="s">
        <v>108</v>
      </c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</row>
    <row r="77" spans="1:45" ht="44" customHeight="1">
      <c r="A77" s="25" t="s">
        <v>18</v>
      </c>
      <c r="B77" s="26" t="s">
        <v>113</v>
      </c>
      <c r="C77" s="25" t="s">
        <v>114</v>
      </c>
      <c r="D77" s="25" t="s">
        <v>111</v>
      </c>
      <c r="E77" s="26" t="s">
        <v>106</v>
      </c>
      <c r="F77" s="26">
        <v>8775</v>
      </c>
      <c r="G77" s="26">
        <v>33</v>
      </c>
      <c r="H77" s="26">
        <v>0</v>
      </c>
      <c r="I77" s="26">
        <v>8808</v>
      </c>
      <c r="J77" s="26">
        <v>3</v>
      </c>
      <c r="K77" s="26">
        <v>0.3</v>
      </c>
      <c r="L77" s="26">
        <v>3.75</v>
      </c>
      <c r="M77" s="26">
        <v>15</v>
      </c>
      <c r="N77" s="27" t="e">
        <f>MAX(0,F77-H77-#REF!)*J77/1000000 + H77*K77/1000000 +#REF!* L77/1000000</f>
        <v>#REF!</v>
      </c>
      <c r="O77" s="27">
        <f t="shared" si="4"/>
        <v>4.95E-4</v>
      </c>
      <c r="P77" s="27" t="e">
        <f t="shared" si="5"/>
        <v>#REF!</v>
      </c>
      <c r="Q77" s="25" t="s">
        <v>115</v>
      </c>
      <c r="R77" s="25" t="s">
        <v>108</v>
      </c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</row>
    <row r="78" spans="1:45" ht="44" customHeight="1">
      <c r="A78" s="22" t="s">
        <v>18</v>
      </c>
      <c r="B78" s="23" t="s">
        <v>113</v>
      </c>
      <c r="C78" s="22" t="s">
        <v>114</v>
      </c>
      <c r="D78" s="22" t="s">
        <v>111</v>
      </c>
      <c r="E78" s="23" t="s">
        <v>106</v>
      </c>
      <c r="F78" s="23">
        <v>2710</v>
      </c>
      <c r="G78" s="23">
        <v>33</v>
      </c>
      <c r="H78" s="23">
        <v>0</v>
      </c>
      <c r="I78" s="23">
        <v>2743</v>
      </c>
      <c r="J78" s="23">
        <v>3</v>
      </c>
      <c r="K78" s="23">
        <v>0.3</v>
      </c>
      <c r="L78" s="23">
        <v>3.75</v>
      </c>
      <c r="M78" s="23">
        <v>15</v>
      </c>
      <c r="N78" s="24" t="e">
        <f>MAX(0,F78-H78-#REF!)*J78/1000000 + H78*K78/1000000 +#REF!* L78/1000000</f>
        <v>#REF!</v>
      </c>
      <c r="O78" s="24">
        <f t="shared" si="4"/>
        <v>4.95E-4</v>
      </c>
      <c r="P78" s="24" t="e">
        <f t="shared" si="5"/>
        <v>#REF!</v>
      </c>
      <c r="Q78" s="22" t="s">
        <v>115</v>
      </c>
      <c r="R78" s="22" t="s">
        <v>108</v>
      </c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</row>
    <row r="79" spans="1:45" ht="44" customHeight="1">
      <c r="A79" s="25" t="s">
        <v>18</v>
      </c>
      <c r="B79" s="26" t="s">
        <v>113</v>
      </c>
      <c r="C79" s="25" t="s">
        <v>114</v>
      </c>
      <c r="D79" s="25" t="s">
        <v>111</v>
      </c>
      <c r="E79" s="26" t="s">
        <v>106</v>
      </c>
      <c r="F79" s="26">
        <v>1743</v>
      </c>
      <c r="G79" s="26">
        <v>33</v>
      </c>
      <c r="H79" s="26">
        <v>0</v>
      </c>
      <c r="I79" s="26">
        <v>1776</v>
      </c>
      <c r="J79" s="26">
        <v>3</v>
      </c>
      <c r="K79" s="26">
        <v>0.3</v>
      </c>
      <c r="L79" s="26">
        <v>3.75</v>
      </c>
      <c r="M79" s="26">
        <v>15</v>
      </c>
      <c r="N79" s="27" t="e">
        <f>MAX(0,F79-H79-#REF!)*J79/1000000 + H79*K79/1000000 +#REF!* L79/1000000</f>
        <v>#REF!</v>
      </c>
      <c r="O79" s="27">
        <f t="shared" si="4"/>
        <v>4.95E-4</v>
      </c>
      <c r="P79" s="27" t="e">
        <f t="shared" si="5"/>
        <v>#REF!</v>
      </c>
      <c r="Q79" s="25" t="s">
        <v>115</v>
      </c>
      <c r="R79" s="25" t="s">
        <v>108</v>
      </c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</row>
    <row r="80" spans="1:45" ht="44" customHeight="1">
      <c r="A80" s="22" t="s">
        <v>18</v>
      </c>
      <c r="B80" s="23" t="s">
        <v>113</v>
      </c>
      <c r="C80" s="22" t="s">
        <v>114</v>
      </c>
      <c r="D80" s="22" t="s">
        <v>111</v>
      </c>
      <c r="E80" s="23" t="s">
        <v>106</v>
      </c>
      <c r="F80" s="23">
        <v>2075</v>
      </c>
      <c r="G80" s="23">
        <v>33</v>
      </c>
      <c r="H80" s="23">
        <v>0</v>
      </c>
      <c r="I80" s="23">
        <v>2108</v>
      </c>
      <c r="J80" s="23">
        <v>3</v>
      </c>
      <c r="K80" s="23">
        <v>0.3</v>
      </c>
      <c r="L80" s="23">
        <v>3.75</v>
      </c>
      <c r="M80" s="23">
        <v>15</v>
      </c>
      <c r="N80" s="24" t="e">
        <f>MAX(0,F80-H80-#REF!)*J80/1000000 + H80*K80/1000000 +#REF!* L80/1000000</f>
        <v>#REF!</v>
      </c>
      <c r="O80" s="24">
        <f t="shared" si="4"/>
        <v>4.95E-4</v>
      </c>
      <c r="P80" s="24" t="e">
        <f t="shared" si="5"/>
        <v>#REF!</v>
      </c>
      <c r="Q80" s="22" t="s">
        <v>115</v>
      </c>
      <c r="R80" s="22" t="s">
        <v>108</v>
      </c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</row>
    <row r="81" spans="1:45" ht="44" customHeight="1">
      <c r="A81" s="25" t="s">
        <v>18</v>
      </c>
      <c r="B81" s="26" t="s">
        <v>113</v>
      </c>
      <c r="C81" s="25" t="s">
        <v>114</v>
      </c>
      <c r="D81" s="25" t="s">
        <v>111</v>
      </c>
      <c r="E81" s="26" t="s">
        <v>106</v>
      </c>
      <c r="F81" s="26">
        <v>2149</v>
      </c>
      <c r="G81" s="26">
        <v>33</v>
      </c>
      <c r="H81" s="26">
        <v>0</v>
      </c>
      <c r="I81" s="26">
        <v>2182</v>
      </c>
      <c r="J81" s="26">
        <v>3</v>
      </c>
      <c r="K81" s="26">
        <v>0.3</v>
      </c>
      <c r="L81" s="26">
        <v>3.75</v>
      </c>
      <c r="M81" s="26">
        <v>15</v>
      </c>
      <c r="N81" s="27" t="e">
        <f>MAX(0,F81-H81-#REF!)*J81/1000000 + H81*K81/1000000 +#REF!* L81/1000000</f>
        <v>#REF!</v>
      </c>
      <c r="O81" s="27">
        <f t="shared" si="4"/>
        <v>4.95E-4</v>
      </c>
      <c r="P81" s="27" t="e">
        <f t="shared" si="5"/>
        <v>#REF!</v>
      </c>
      <c r="Q81" s="25" t="s">
        <v>115</v>
      </c>
      <c r="R81" s="25" t="s">
        <v>108</v>
      </c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</row>
    <row r="82" spans="1:45" ht="44" customHeight="1">
      <c r="A82" s="22" t="s">
        <v>18</v>
      </c>
      <c r="B82" s="23" t="s">
        <v>113</v>
      </c>
      <c r="C82" s="22" t="s">
        <v>114</v>
      </c>
      <c r="D82" s="22" t="s">
        <v>111</v>
      </c>
      <c r="E82" s="23" t="s">
        <v>106</v>
      </c>
      <c r="F82" s="23">
        <v>3352</v>
      </c>
      <c r="G82" s="23">
        <v>33</v>
      </c>
      <c r="H82" s="23">
        <v>0</v>
      </c>
      <c r="I82" s="23">
        <v>3385</v>
      </c>
      <c r="J82" s="23">
        <v>3</v>
      </c>
      <c r="K82" s="23">
        <v>0.3</v>
      </c>
      <c r="L82" s="23">
        <v>3.75</v>
      </c>
      <c r="M82" s="23">
        <v>15</v>
      </c>
      <c r="N82" s="24" t="e">
        <f>MAX(0,F82-H82-#REF!)*J82/1000000 + H82*K82/1000000 +#REF!* L82/1000000</f>
        <v>#REF!</v>
      </c>
      <c r="O82" s="24">
        <f t="shared" si="4"/>
        <v>4.95E-4</v>
      </c>
      <c r="P82" s="24" t="e">
        <f t="shared" si="5"/>
        <v>#REF!</v>
      </c>
      <c r="Q82" s="22" t="s">
        <v>115</v>
      </c>
      <c r="R82" s="22" t="s">
        <v>108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</row>
    <row r="83" spans="1:45" ht="44" customHeight="1">
      <c r="A83" s="25" t="s">
        <v>18</v>
      </c>
      <c r="B83" s="26" t="s">
        <v>113</v>
      </c>
      <c r="C83" s="25" t="s">
        <v>114</v>
      </c>
      <c r="D83" s="25" t="s">
        <v>111</v>
      </c>
      <c r="E83" s="26" t="s">
        <v>106</v>
      </c>
      <c r="F83" s="26">
        <v>3227</v>
      </c>
      <c r="G83" s="26">
        <v>33</v>
      </c>
      <c r="H83" s="26">
        <v>0</v>
      </c>
      <c r="I83" s="26">
        <v>3260</v>
      </c>
      <c r="J83" s="26">
        <v>3</v>
      </c>
      <c r="K83" s="26">
        <v>0.3</v>
      </c>
      <c r="L83" s="26">
        <v>3.75</v>
      </c>
      <c r="M83" s="26">
        <v>15</v>
      </c>
      <c r="N83" s="27" t="e">
        <f>MAX(0,F83-H83-#REF!)*J83/1000000 + H83*K83/1000000 +#REF!* L83/1000000</f>
        <v>#REF!</v>
      </c>
      <c r="O83" s="27">
        <f t="shared" si="4"/>
        <v>4.95E-4</v>
      </c>
      <c r="P83" s="27" t="e">
        <f t="shared" si="5"/>
        <v>#REF!</v>
      </c>
      <c r="Q83" s="25" t="s">
        <v>115</v>
      </c>
      <c r="R83" s="25" t="s">
        <v>108</v>
      </c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</row>
    <row r="84" spans="1:45" ht="44" customHeight="1">
      <c r="A84" s="22" t="s">
        <v>18</v>
      </c>
      <c r="B84" s="23" t="s">
        <v>113</v>
      </c>
      <c r="C84" s="22" t="s">
        <v>114</v>
      </c>
      <c r="D84" s="22" t="s">
        <v>111</v>
      </c>
      <c r="E84" s="23" t="s">
        <v>106</v>
      </c>
      <c r="F84" s="23">
        <v>3129</v>
      </c>
      <c r="G84" s="23">
        <v>33</v>
      </c>
      <c r="H84" s="23">
        <v>0</v>
      </c>
      <c r="I84" s="23">
        <v>3162</v>
      </c>
      <c r="J84" s="23">
        <v>3</v>
      </c>
      <c r="K84" s="23">
        <v>0.3</v>
      </c>
      <c r="L84" s="23">
        <v>3.75</v>
      </c>
      <c r="M84" s="23">
        <v>15</v>
      </c>
      <c r="N84" s="24" t="e">
        <f>MAX(0,F84-H84-#REF!)*J84/1000000 + H84*K84/1000000 +#REF!* L84/1000000</f>
        <v>#REF!</v>
      </c>
      <c r="O84" s="24">
        <f t="shared" si="4"/>
        <v>4.95E-4</v>
      </c>
      <c r="P84" s="24" t="e">
        <f t="shared" si="5"/>
        <v>#REF!</v>
      </c>
      <c r="Q84" s="22" t="s">
        <v>115</v>
      </c>
      <c r="R84" s="22" t="s">
        <v>108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</row>
    <row r="85" spans="1:45" ht="44" customHeight="1">
      <c r="A85" s="25" t="s">
        <v>18</v>
      </c>
      <c r="B85" s="26" t="s">
        <v>113</v>
      </c>
      <c r="C85" s="25" t="s">
        <v>114</v>
      </c>
      <c r="D85" s="25" t="s">
        <v>111</v>
      </c>
      <c r="E85" s="26" t="s">
        <v>106</v>
      </c>
      <c r="F85" s="26">
        <v>2999</v>
      </c>
      <c r="G85" s="26">
        <v>33</v>
      </c>
      <c r="H85" s="26">
        <v>0</v>
      </c>
      <c r="I85" s="26">
        <v>3032</v>
      </c>
      <c r="J85" s="26">
        <v>3</v>
      </c>
      <c r="K85" s="26">
        <v>0.3</v>
      </c>
      <c r="L85" s="26">
        <v>3.75</v>
      </c>
      <c r="M85" s="26">
        <v>15</v>
      </c>
      <c r="N85" s="27" t="e">
        <f>MAX(0,F85-H85-#REF!)*J85/1000000 + H85*K85/1000000 +#REF!* L85/1000000</f>
        <v>#REF!</v>
      </c>
      <c r="O85" s="27">
        <f t="shared" si="4"/>
        <v>4.95E-4</v>
      </c>
      <c r="P85" s="27" t="e">
        <f t="shared" si="5"/>
        <v>#REF!</v>
      </c>
      <c r="Q85" s="25" t="s">
        <v>115</v>
      </c>
      <c r="R85" s="25" t="s">
        <v>108</v>
      </c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</row>
    <row r="86" spans="1:45" ht="44" customHeight="1">
      <c r="A86" s="22" t="s">
        <v>18</v>
      </c>
      <c r="B86" s="23" t="s">
        <v>113</v>
      </c>
      <c r="C86" s="22" t="s">
        <v>114</v>
      </c>
      <c r="D86" s="22" t="s">
        <v>112</v>
      </c>
      <c r="E86" s="23" t="s">
        <v>106</v>
      </c>
      <c r="F86" s="23">
        <v>2913</v>
      </c>
      <c r="G86" s="23">
        <v>366</v>
      </c>
      <c r="H86" s="23">
        <v>0</v>
      </c>
      <c r="I86" s="23">
        <v>3279</v>
      </c>
      <c r="J86" s="23">
        <v>3</v>
      </c>
      <c r="K86" s="23">
        <v>0.3</v>
      </c>
      <c r="L86" s="23">
        <v>3.75</v>
      </c>
      <c r="M86" s="23">
        <v>15</v>
      </c>
      <c r="N86" s="24" t="e">
        <f>MAX(0,F86-H86-#REF!)*J86/1000000 + H86*K86/1000000 +#REF!* L86/1000000</f>
        <v>#REF!</v>
      </c>
      <c r="O86" s="24">
        <f t="shared" si="4"/>
        <v>5.4900000000000001E-3</v>
      </c>
      <c r="P86" s="24" t="e">
        <f t="shared" si="5"/>
        <v>#REF!</v>
      </c>
      <c r="Q86" s="22" t="s">
        <v>115</v>
      </c>
      <c r="R86" s="22" t="s">
        <v>108</v>
      </c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</row>
    <row r="87" spans="1:45" ht="44" customHeight="1">
      <c r="A87" s="25" t="s">
        <v>18</v>
      </c>
      <c r="B87" s="26" t="s">
        <v>113</v>
      </c>
      <c r="C87" s="25" t="s">
        <v>114</v>
      </c>
      <c r="D87" s="25" t="s">
        <v>112</v>
      </c>
      <c r="E87" s="26" t="s">
        <v>106</v>
      </c>
      <c r="F87" s="26">
        <v>3048</v>
      </c>
      <c r="G87" s="26">
        <v>375</v>
      </c>
      <c r="H87" s="26">
        <v>0</v>
      </c>
      <c r="I87" s="26">
        <v>3423</v>
      </c>
      <c r="J87" s="26">
        <v>3</v>
      </c>
      <c r="K87" s="26">
        <v>0.3</v>
      </c>
      <c r="L87" s="26">
        <v>3.75</v>
      </c>
      <c r="M87" s="26">
        <v>15</v>
      </c>
      <c r="N87" s="27" t="e">
        <f>MAX(0,F87-H87-#REF!)*J87/1000000 + H87*K87/1000000 +#REF!* L87/1000000</f>
        <v>#REF!</v>
      </c>
      <c r="O87" s="27">
        <f t="shared" si="4"/>
        <v>5.6249999999999998E-3</v>
      </c>
      <c r="P87" s="27" t="e">
        <f t="shared" si="5"/>
        <v>#REF!</v>
      </c>
      <c r="Q87" s="25" t="s">
        <v>115</v>
      </c>
      <c r="R87" s="25" t="s">
        <v>108</v>
      </c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</row>
    <row r="88" spans="1:45" ht="44" customHeight="1">
      <c r="A88" s="22" t="s">
        <v>18</v>
      </c>
      <c r="B88" s="23" t="s">
        <v>113</v>
      </c>
      <c r="C88" s="22" t="s">
        <v>114</v>
      </c>
      <c r="D88" s="22" t="s">
        <v>112</v>
      </c>
      <c r="E88" s="23" t="s">
        <v>106</v>
      </c>
      <c r="F88" s="23">
        <v>2077</v>
      </c>
      <c r="G88" s="23">
        <v>412</v>
      </c>
      <c r="H88" s="23">
        <v>0</v>
      </c>
      <c r="I88" s="23">
        <v>2489</v>
      </c>
      <c r="J88" s="23">
        <v>3</v>
      </c>
      <c r="K88" s="23">
        <v>0.3</v>
      </c>
      <c r="L88" s="23">
        <v>3.75</v>
      </c>
      <c r="M88" s="23">
        <v>15</v>
      </c>
      <c r="N88" s="24" t="e">
        <f>MAX(0,F88-H88-#REF!)*J88/1000000 + H88*K88/1000000 +#REF!* L88/1000000</f>
        <v>#REF!</v>
      </c>
      <c r="O88" s="24">
        <f t="shared" si="4"/>
        <v>6.1799999999999997E-3</v>
      </c>
      <c r="P88" s="24" t="e">
        <f t="shared" si="5"/>
        <v>#REF!</v>
      </c>
      <c r="Q88" s="22" t="s">
        <v>115</v>
      </c>
      <c r="R88" s="22" t="s">
        <v>108</v>
      </c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</row>
    <row r="89" spans="1:45" ht="44" customHeight="1">
      <c r="A89" s="25" t="s">
        <v>18</v>
      </c>
      <c r="B89" s="26" t="s">
        <v>113</v>
      </c>
      <c r="C89" s="25" t="s">
        <v>114</v>
      </c>
      <c r="D89" s="25" t="s">
        <v>112</v>
      </c>
      <c r="E89" s="26" t="s">
        <v>106</v>
      </c>
      <c r="F89" s="26">
        <v>2957</v>
      </c>
      <c r="G89" s="26">
        <v>438</v>
      </c>
      <c r="H89" s="26">
        <v>0</v>
      </c>
      <c r="I89" s="26">
        <v>3395</v>
      </c>
      <c r="J89" s="26">
        <v>3</v>
      </c>
      <c r="K89" s="26">
        <v>0.3</v>
      </c>
      <c r="L89" s="26">
        <v>3.75</v>
      </c>
      <c r="M89" s="26">
        <v>15</v>
      </c>
      <c r="N89" s="27" t="e">
        <f>MAX(0,F89-H89-#REF!)*J89/1000000 + H89*K89/1000000 +#REF!* L89/1000000</f>
        <v>#REF!</v>
      </c>
      <c r="O89" s="27">
        <f t="shared" si="4"/>
        <v>6.5700000000000003E-3</v>
      </c>
      <c r="P89" s="27" t="e">
        <f t="shared" si="5"/>
        <v>#REF!</v>
      </c>
      <c r="Q89" s="25" t="s">
        <v>115</v>
      </c>
      <c r="R89" s="25" t="s">
        <v>108</v>
      </c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</row>
    <row r="90" spans="1:45" ht="44" customHeight="1">
      <c r="A90" s="22" t="s">
        <v>18</v>
      </c>
      <c r="B90" s="23" t="s">
        <v>113</v>
      </c>
      <c r="C90" s="22" t="s">
        <v>114</v>
      </c>
      <c r="D90" s="22" t="s">
        <v>112</v>
      </c>
      <c r="E90" s="23" t="s">
        <v>106</v>
      </c>
      <c r="F90" s="23">
        <v>2819</v>
      </c>
      <c r="G90" s="23">
        <v>619</v>
      </c>
      <c r="H90" s="23">
        <v>0</v>
      </c>
      <c r="I90" s="23">
        <v>3438</v>
      </c>
      <c r="J90" s="23">
        <v>3</v>
      </c>
      <c r="K90" s="23">
        <v>0.3</v>
      </c>
      <c r="L90" s="23">
        <v>3.75</v>
      </c>
      <c r="M90" s="23">
        <v>15</v>
      </c>
      <c r="N90" s="24" t="e">
        <f>MAX(0,F90-H90-#REF!)*J90/1000000 + H90*K90/1000000 +#REF!* L90/1000000</f>
        <v>#REF!</v>
      </c>
      <c r="O90" s="24">
        <f t="shared" si="4"/>
        <v>9.2849999999999999E-3</v>
      </c>
      <c r="P90" s="24" t="e">
        <f t="shared" si="5"/>
        <v>#REF!</v>
      </c>
      <c r="Q90" s="22" t="s">
        <v>115</v>
      </c>
      <c r="R90" s="22" t="s">
        <v>108</v>
      </c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</row>
    <row r="91" spans="1:45" ht="44" customHeight="1">
      <c r="A91" s="25" t="s">
        <v>18</v>
      </c>
      <c r="B91" s="26" t="s">
        <v>113</v>
      </c>
      <c r="C91" s="25" t="s">
        <v>114</v>
      </c>
      <c r="D91" s="25" t="s">
        <v>112</v>
      </c>
      <c r="E91" s="26" t="s">
        <v>106</v>
      </c>
      <c r="F91" s="26">
        <v>2201</v>
      </c>
      <c r="G91" s="26">
        <v>697</v>
      </c>
      <c r="H91" s="26">
        <v>0</v>
      </c>
      <c r="I91" s="26">
        <v>2898</v>
      </c>
      <c r="J91" s="26">
        <v>3</v>
      </c>
      <c r="K91" s="26">
        <v>0.3</v>
      </c>
      <c r="L91" s="26">
        <v>3.75</v>
      </c>
      <c r="M91" s="26">
        <v>15</v>
      </c>
      <c r="N91" s="27" t="e">
        <f>MAX(0,F91-H91-#REF!)*J91/1000000 + H91*K91/1000000 +#REF!* L91/1000000</f>
        <v>#REF!</v>
      </c>
      <c r="O91" s="27">
        <f t="shared" si="4"/>
        <v>1.0455000000000001E-2</v>
      </c>
      <c r="P91" s="27" t="e">
        <f t="shared" si="5"/>
        <v>#REF!</v>
      </c>
      <c r="Q91" s="25" t="s">
        <v>115</v>
      </c>
      <c r="R91" s="25" t="s">
        <v>108</v>
      </c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</row>
    <row r="92" spans="1:45" ht="44" customHeight="1">
      <c r="A92" s="22" t="s">
        <v>18</v>
      </c>
      <c r="B92" s="23" t="s">
        <v>113</v>
      </c>
      <c r="C92" s="22" t="s">
        <v>114</v>
      </c>
      <c r="D92" s="22" t="s">
        <v>112</v>
      </c>
      <c r="E92" s="23" t="s">
        <v>106</v>
      </c>
      <c r="F92" s="23">
        <v>4419</v>
      </c>
      <c r="G92" s="23">
        <v>966</v>
      </c>
      <c r="H92" s="23">
        <v>0</v>
      </c>
      <c r="I92" s="23">
        <v>5385</v>
      </c>
      <c r="J92" s="23">
        <v>3</v>
      </c>
      <c r="K92" s="23">
        <v>0.3</v>
      </c>
      <c r="L92" s="23">
        <v>3.75</v>
      </c>
      <c r="M92" s="23">
        <v>15</v>
      </c>
      <c r="N92" s="24" t="e">
        <f>MAX(0,F92-H92-#REF!)*J92/1000000 + H92*K92/1000000 +#REF!* L92/1000000</f>
        <v>#REF!</v>
      </c>
      <c r="O92" s="24">
        <f t="shared" si="4"/>
        <v>1.4489999999999999E-2</v>
      </c>
      <c r="P92" s="24" t="e">
        <f t="shared" si="5"/>
        <v>#REF!</v>
      </c>
      <c r="Q92" s="22" t="s">
        <v>115</v>
      </c>
      <c r="R92" s="22" t="s">
        <v>108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</row>
    <row r="93" spans="1:45" ht="44" customHeight="1">
      <c r="A93" s="25" t="s">
        <v>19</v>
      </c>
      <c r="B93" s="26" t="s">
        <v>113</v>
      </c>
      <c r="C93" s="25" t="s">
        <v>116</v>
      </c>
      <c r="D93" s="25" t="s">
        <v>105</v>
      </c>
      <c r="E93" s="26" t="s">
        <v>106</v>
      </c>
      <c r="F93" s="26">
        <v>7573</v>
      </c>
      <c r="G93" s="26">
        <v>634</v>
      </c>
      <c r="H93" s="26">
        <v>0</v>
      </c>
      <c r="I93" s="26">
        <v>8207</v>
      </c>
      <c r="J93" s="26">
        <v>3</v>
      </c>
      <c r="K93" s="26">
        <v>0.3</v>
      </c>
      <c r="L93" s="26">
        <v>3.75</v>
      </c>
      <c r="M93" s="26">
        <v>15</v>
      </c>
      <c r="N93" s="27" t="e">
        <f>MAX(0,F93-H93-#REF!)*J93/1000000 + H93*K93/1000000 +#REF!* L93/1000000</f>
        <v>#REF!</v>
      </c>
      <c r="O93" s="27">
        <f t="shared" si="4"/>
        <v>9.5099999999999994E-3</v>
      </c>
      <c r="P93" s="27" t="e">
        <f t="shared" si="5"/>
        <v>#REF!</v>
      </c>
      <c r="Q93" s="25" t="s">
        <v>115</v>
      </c>
      <c r="R93" s="25" t="s">
        <v>108</v>
      </c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</row>
    <row r="94" spans="1:45" ht="44" customHeight="1">
      <c r="A94" s="22" t="s">
        <v>19</v>
      </c>
      <c r="B94" s="23" t="s">
        <v>113</v>
      </c>
      <c r="C94" s="22" t="s">
        <v>116</v>
      </c>
      <c r="D94" s="22" t="s">
        <v>109</v>
      </c>
      <c r="E94" s="23" t="s">
        <v>106</v>
      </c>
      <c r="F94" s="23">
        <v>3870</v>
      </c>
      <c r="G94" s="23">
        <v>33</v>
      </c>
      <c r="H94" s="23">
        <v>0</v>
      </c>
      <c r="I94" s="23">
        <v>3903</v>
      </c>
      <c r="J94" s="23">
        <v>3</v>
      </c>
      <c r="K94" s="23">
        <v>0.3</v>
      </c>
      <c r="L94" s="23">
        <v>3.75</v>
      </c>
      <c r="M94" s="23">
        <v>15</v>
      </c>
      <c r="N94" s="24" t="e">
        <f>MAX(0,F94-H94-#REF!)*J94/1000000 + H94*K94/1000000 +#REF!* L94/1000000</f>
        <v>#REF!</v>
      </c>
      <c r="O94" s="24">
        <f t="shared" si="4"/>
        <v>4.95E-4</v>
      </c>
      <c r="P94" s="24" t="e">
        <f t="shared" si="5"/>
        <v>#REF!</v>
      </c>
      <c r="Q94" s="22" t="s">
        <v>115</v>
      </c>
      <c r="R94" s="22" t="s">
        <v>108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  <row r="95" spans="1:45" ht="44" customHeight="1">
      <c r="A95" s="25" t="s">
        <v>19</v>
      </c>
      <c r="B95" s="26" t="s">
        <v>113</v>
      </c>
      <c r="C95" s="25" t="s">
        <v>116</v>
      </c>
      <c r="D95" s="25" t="s">
        <v>109</v>
      </c>
      <c r="E95" s="26" t="s">
        <v>106</v>
      </c>
      <c r="F95" s="26">
        <v>2575</v>
      </c>
      <c r="G95" s="26">
        <v>33</v>
      </c>
      <c r="H95" s="26">
        <v>0</v>
      </c>
      <c r="I95" s="26">
        <v>2608</v>
      </c>
      <c r="J95" s="26">
        <v>3</v>
      </c>
      <c r="K95" s="26">
        <v>0.3</v>
      </c>
      <c r="L95" s="26">
        <v>3.75</v>
      </c>
      <c r="M95" s="26">
        <v>15</v>
      </c>
      <c r="N95" s="27" t="e">
        <f>MAX(0,F95-H95-#REF!)*J95/1000000 + H95*K95/1000000 +#REF!* L95/1000000</f>
        <v>#REF!</v>
      </c>
      <c r="O95" s="27">
        <f t="shared" si="4"/>
        <v>4.95E-4</v>
      </c>
      <c r="P95" s="27" t="e">
        <f t="shared" si="5"/>
        <v>#REF!</v>
      </c>
      <c r="Q95" s="25" t="s">
        <v>115</v>
      </c>
      <c r="R95" s="25" t="s">
        <v>108</v>
      </c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</row>
    <row r="96" spans="1:45" ht="44" customHeight="1">
      <c r="A96" s="22" t="s">
        <v>19</v>
      </c>
      <c r="B96" s="23" t="s">
        <v>113</v>
      </c>
      <c r="C96" s="22" t="s">
        <v>116</v>
      </c>
      <c r="D96" s="22" t="s">
        <v>109</v>
      </c>
      <c r="E96" s="23" t="s">
        <v>106</v>
      </c>
      <c r="F96" s="23">
        <v>3228</v>
      </c>
      <c r="G96" s="23">
        <v>33</v>
      </c>
      <c r="H96" s="23">
        <v>0</v>
      </c>
      <c r="I96" s="23">
        <v>3261</v>
      </c>
      <c r="J96" s="23">
        <v>3</v>
      </c>
      <c r="K96" s="23">
        <v>0.3</v>
      </c>
      <c r="L96" s="23">
        <v>3.75</v>
      </c>
      <c r="M96" s="23">
        <v>15</v>
      </c>
      <c r="N96" s="24" t="e">
        <f>MAX(0,F96-H96-#REF!)*J96/1000000 + H96*K96/1000000 +#REF!* L96/1000000</f>
        <v>#REF!</v>
      </c>
      <c r="O96" s="24">
        <f t="shared" si="4"/>
        <v>4.95E-4</v>
      </c>
      <c r="P96" s="24" t="e">
        <f t="shared" si="5"/>
        <v>#REF!</v>
      </c>
      <c r="Q96" s="22" t="s">
        <v>115</v>
      </c>
      <c r="R96" s="22" t="s">
        <v>108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</row>
    <row r="97" spans="1:45" ht="44" customHeight="1">
      <c r="A97" s="25" t="s">
        <v>19</v>
      </c>
      <c r="B97" s="26" t="s">
        <v>113</v>
      </c>
      <c r="C97" s="25" t="s">
        <v>116</v>
      </c>
      <c r="D97" s="25" t="s">
        <v>109</v>
      </c>
      <c r="E97" s="26" t="s">
        <v>106</v>
      </c>
      <c r="F97" s="26">
        <v>2261</v>
      </c>
      <c r="G97" s="26">
        <v>33</v>
      </c>
      <c r="H97" s="26">
        <v>0</v>
      </c>
      <c r="I97" s="26">
        <v>2294</v>
      </c>
      <c r="J97" s="26">
        <v>3</v>
      </c>
      <c r="K97" s="26">
        <v>0.3</v>
      </c>
      <c r="L97" s="26">
        <v>3.75</v>
      </c>
      <c r="M97" s="26">
        <v>15</v>
      </c>
      <c r="N97" s="27" t="e">
        <f>MAX(0,F97-H97-#REF!)*J97/1000000 + H97*K97/1000000 +#REF!* L97/1000000</f>
        <v>#REF!</v>
      </c>
      <c r="O97" s="27">
        <f t="shared" si="4"/>
        <v>4.95E-4</v>
      </c>
      <c r="P97" s="27" t="e">
        <f t="shared" si="5"/>
        <v>#REF!</v>
      </c>
      <c r="Q97" s="25" t="s">
        <v>115</v>
      </c>
      <c r="R97" s="25" t="s">
        <v>108</v>
      </c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</row>
    <row r="98" spans="1:45" ht="44" customHeight="1">
      <c r="A98" s="22" t="s">
        <v>19</v>
      </c>
      <c r="B98" s="23" t="s">
        <v>113</v>
      </c>
      <c r="C98" s="22" t="s">
        <v>116</v>
      </c>
      <c r="D98" s="22" t="s">
        <v>109</v>
      </c>
      <c r="E98" s="23" t="s">
        <v>106</v>
      </c>
      <c r="F98" s="23">
        <v>2593</v>
      </c>
      <c r="G98" s="23">
        <v>33</v>
      </c>
      <c r="H98" s="23">
        <v>0</v>
      </c>
      <c r="I98" s="23">
        <v>2626</v>
      </c>
      <c r="J98" s="23">
        <v>3</v>
      </c>
      <c r="K98" s="23">
        <v>0.3</v>
      </c>
      <c r="L98" s="23">
        <v>3.75</v>
      </c>
      <c r="M98" s="23">
        <v>15</v>
      </c>
      <c r="N98" s="24" t="e">
        <f>MAX(0,F98-H98-#REF!)*J98/1000000 + H98*K98/1000000 +#REF!* L98/1000000</f>
        <v>#REF!</v>
      </c>
      <c r="O98" s="24">
        <f t="shared" ref="O98:O134" si="6">G98*M98/1000000</f>
        <v>4.95E-4</v>
      </c>
      <c r="P98" s="24" t="e">
        <f t="shared" ref="P98:P129" si="7">N98+O98</f>
        <v>#REF!</v>
      </c>
      <c r="Q98" s="22" t="s">
        <v>115</v>
      </c>
      <c r="R98" s="22" t="s">
        <v>108</v>
      </c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</row>
    <row r="99" spans="1:45" ht="44" customHeight="1">
      <c r="A99" s="25" t="s">
        <v>19</v>
      </c>
      <c r="B99" s="26" t="s">
        <v>113</v>
      </c>
      <c r="C99" s="25" t="s">
        <v>116</v>
      </c>
      <c r="D99" s="25" t="s">
        <v>109</v>
      </c>
      <c r="E99" s="26" t="s">
        <v>106</v>
      </c>
      <c r="F99" s="26">
        <v>2667</v>
      </c>
      <c r="G99" s="26">
        <v>33</v>
      </c>
      <c r="H99" s="26">
        <v>0</v>
      </c>
      <c r="I99" s="26">
        <v>2700</v>
      </c>
      <c r="J99" s="26">
        <v>3</v>
      </c>
      <c r="K99" s="26">
        <v>0.3</v>
      </c>
      <c r="L99" s="26">
        <v>3.75</v>
      </c>
      <c r="M99" s="26">
        <v>15</v>
      </c>
      <c r="N99" s="27" t="e">
        <f>MAX(0,F99-H99-#REF!)*J99/1000000 + H99*K99/1000000 +#REF!* L99/1000000</f>
        <v>#REF!</v>
      </c>
      <c r="O99" s="27">
        <f t="shared" si="6"/>
        <v>4.95E-4</v>
      </c>
      <c r="P99" s="27" t="e">
        <f t="shared" si="7"/>
        <v>#REF!</v>
      </c>
      <c r="Q99" s="25" t="s">
        <v>115</v>
      </c>
      <c r="R99" s="25" t="s">
        <v>108</v>
      </c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</row>
    <row r="100" spans="1:45" ht="44" customHeight="1">
      <c r="A100" s="22" t="s">
        <v>19</v>
      </c>
      <c r="B100" s="23" t="s">
        <v>113</v>
      </c>
      <c r="C100" s="22" t="s">
        <v>116</v>
      </c>
      <c r="D100" s="22" t="s">
        <v>109</v>
      </c>
      <c r="E100" s="23" t="s">
        <v>106</v>
      </c>
      <c r="F100" s="23">
        <v>3745</v>
      </c>
      <c r="G100" s="23">
        <v>33</v>
      </c>
      <c r="H100" s="23">
        <v>0</v>
      </c>
      <c r="I100" s="23">
        <v>3778</v>
      </c>
      <c r="J100" s="23">
        <v>3</v>
      </c>
      <c r="K100" s="23">
        <v>0.3</v>
      </c>
      <c r="L100" s="23">
        <v>3.75</v>
      </c>
      <c r="M100" s="23">
        <v>15</v>
      </c>
      <c r="N100" s="24" t="e">
        <f>MAX(0,F100-H100-#REF!)*J100/1000000 + H100*K100/1000000 +#REF!* L100/1000000</f>
        <v>#REF!</v>
      </c>
      <c r="O100" s="24">
        <f t="shared" si="6"/>
        <v>4.95E-4</v>
      </c>
      <c r="P100" s="24" t="e">
        <f t="shared" si="7"/>
        <v>#REF!</v>
      </c>
      <c r="Q100" s="22" t="s">
        <v>115</v>
      </c>
      <c r="R100" s="22" t="s">
        <v>108</v>
      </c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</row>
    <row r="101" spans="1:45" ht="44" customHeight="1">
      <c r="A101" s="25" t="s">
        <v>19</v>
      </c>
      <c r="B101" s="26" t="s">
        <v>113</v>
      </c>
      <c r="C101" s="25" t="s">
        <v>116</v>
      </c>
      <c r="D101" s="25" t="s">
        <v>109</v>
      </c>
      <c r="E101" s="26" t="s">
        <v>106</v>
      </c>
      <c r="F101" s="26">
        <v>9293</v>
      </c>
      <c r="G101" s="26">
        <v>33</v>
      </c>
      <c r="H101" s="26">
        <v>0</v>
      </c>
      <c r="I101" s="26">
        <v>9326</v>
      </c>
      <c r="J101" s="26">
        <v>3</v>
      </c>
      <c r="K101" s="26">
        <v>0.3</v>
      </c>
      <c r="L101" s="26">
        <v>3.75</v>
      </c>
      <c r="M101" s="26">
        <v>15</v>
      </c>
      <c r="N101" s="27" t="e">
        <f>MAX(0,F101-H101-#REF!)*J101/1000000 + H101*K101/1000000 +#REF!* L101/1000000</f>
        <v>#REF!</v>
      </c>
      <c r="O101" s="27">
        <f t="shared" si="6"/>
        <v>4.95E-4</v>
      </c>
      <c r="P101" s="27" t="e">
        <f t="shared" si="7"/>
        <v>#REF!</v>
      </c>
      <c r="Q101" s="25" t="s">
        <v>115</v>
      </c>
      <c r="R101" s="25" t="s">
        <v>108</v>
      </c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</row>
    <row r="102" spans="1:45" ht="44" customHeight="1">
      <c r="A102" s="22" t="s">
        <v>19</v>
      </c>
      <c r="B102" s="23" t="s">
        <v>113</v>
      </c>
      <c r="C102" s="22" t="s">
        <v>116</v>
      </c>
      <c r="D102" s="22" t="s">
        <v>109</v>
      </c>
      <c r="E102" s="23" t="s">
        <v>106</v>
      </c>
      <c r="F102" s="23">
        <v>3647</v>
      </c>
      <c r="G102" s="23">
        <v>33</v>
      </c>
      <c r="H102" s="23">
        <v>0</v>
      </c>
      <c r="I102" s="23">
        <v>3680</v>
      </c>
      <c r="J102" s="23">
        <v>3</v>
      </c>
      <c r="K102" s="23">
        <v>0.3</v>
      </c>
      <c r="L102" s="23">
        <v>3.75</v>
      </c>
      <c r="M102" s="23">
        <v>15</v>
      </c>
      <c r="N102" s="24" t="e">
        <f>MAX(0,F102-H102-#REF!)*J102/1000000 + H102*K102/1000000 +#REF!* L102/1000000</f>
        <v>#REF!</v>
      </c>
      <c r="O102" s="24">
        <f t="shared" si="6"/>
        <v>4.95E-4</v>
      </c>
      <c r="P102" s="24" t="e">
        <f t="shared" si="7"/>
        <v>#REF!</v>
      </c>
      <c r="Q102" s="22" t="s">
        <v>115</v>
      </c>
      <c r="R102" s="22" t="s">
        <v>108</v>
      </c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</row>
    <row r="103" spans="1:45" ht="44" customHeight="1">
      <c r="A103" s="25" t="s">
        <v>19</v>
      </c>
      <c r="B103" s="26" t="s">
        <v>113</v>
      </c>
      <c r="C103" s="25" t="s">
        <v>116</v>
      </c>
      <c r="D103" s="25" t="s">
        <v>109</v>
      </c>
      <c r="E103" s="26" t="s">
        <v>106</v>
      </c>
      <c r="F103" s="26">
        <v>5775</v>
      </c>
      <c r="G103" s="26">
        <v>263</v>
      </c>
      <c r="H103" s="26">
        <v>0</v>
      </c>
      <c r="I103" s="26">
        <v>6038</v>
      </c>
      <c r="J103" s="26">
        <v>3</v>
      </c>
      <c r="K103" s="26">
        <v>0.3</v>
      </c>
      <c r="L103" s="26">
        <v>3.75</v>
      </c>
      <c r="M103" s="26">
        <v>15</v>
      </c>
      <c r="N103" s="27" t="e">
        <f>MAX(0,F103-H103-#REF!)*J103/1000000 + H103*K103/1000000 +#REF!* L103/1000000</f>
        <v>#REF!</v>
      </c>
      <c r="O103" s="27">
        <f t="shared" si="6"/>
        <v>3.9449999999999997E-3</v>
      </c>
      <c r="P103" s="27" t="e">
        <f t="shared" si="7"/>
        <v>#REF!</v>
      </c>
      <c r="Q103" s="25" t="s">
        <v>115</v>
      </c>
      <c r="R103" s="25" t="s">
        <v>108</v>
      </c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</row>
    <row r="104" spans="1:45" ht="44" customHeight="1">
      <c r="A104" s="22" t="s">
        <v>19</v>
      </c>
      <c r="B104" s="23" t="s">
        <v>113</v>
      </c>
      <c r="C104" s="22" t="s">
        <v>116</v>
      </c>
      <c r="D104" s="22" t="s">
        <v>109</v>
      </c>
      <c r="E104" s="23" t="s">
        <v>106</v>
      </c>
      <c r="F104" s="23">
        <v>6545</v>
      </c>
      <c r="G104" s="23">
        <v>264</v>
      </c>
      <c r="H104" s="23">
        <v>0</v>
      </c>
      <c r="I104" s="23">
        <v>6809</v>
      </c>
      <c r="J104" s="23">
        <v>3</v>
      </c>
      <c r="K104" s="23">
        <v>0.3</v>
      </c>
      <c r="L104" s="23">
        <v>3.75</v>
      </c>
      <c r="M104" s="23">
        <v>15</v>
      </c>
      <c r="N104" s="24" t="e">
        <f>MAX(0,F104-H104-#REF!)*J104/1000000 + H104*K104/1000000 +#REF!* L104/1000000</f>
        <v>#REF!</v>
      </c>
      <c r="O104" s="24">
        <f t="shared" si="6"/>
        <v>3.96E-3</v>
      </c>
      <c r="P104" s="24" t="e">
        <f t="shared" si="7"/>
        <v>#REF!</v>
      </c>
      <c r="Q104" s="22" t="s">
        <v>115</v>
      </c>
      <c r="R104" s="22" t="s">
        <v>108</v>
      </c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</row>
    <row r="105" spans="1:45" ht="44" customHeight="1">
      <c r="A105" s="25" t="s">
        <v>19</v>
      </c>
      <c r="B105" s="26" t="s">
        <v>113</v>
      </c>
      <c r="C105" s="25" t="s">
        <v>116</v>
      </c>
      <c r="D105" s="25" t="s">
        <v>109</v>
      </c>
      <c r="E105" s="26" t="s">
        <v>106</v>
      </c>
      <c r="F105" s="26">
        <v>3517</v>
      </c>
      <c r="G105" s="26">
        <v>497</v>
      </c>
      <c r="H105" s="26">
        <v>0</v>
      </c>
      <c r="I105" s="26">
        <v>4014</v>
      </c>
      <c r="J105" s="26">
        <v>3</v>
      </c>
      <c r="K105" s="26">
        <v>0.3</v>
      </c>
      <c r="L105" s="26">
        <v>3.75</v>
      </c>
      <c r="M105" s="26">
        <v>15</v>
      </c>
      <c r="N105" s="27" t="e">
        <f>MAX(0,F105-H105-#REF!)*J105/1000000 + H105*K105/1000000 +#REF!* L105/1000000</f>
        <v>#REF!</v>
      </c>
      <c r="O105" s="27">
        <f t="shared" si="6"/>
        <v>7.4549999999999998E-3</v>
      </c>
      <c r="P105" s="27" t="e">
        <f t="shared" si="7"/>
        <v>#REF!</v>
      </c>
      <c r="Q105" s="25" t="s">
        <v>115</v>
      </c>
      <c r="R105" s="25" t="s">
        <v>108</v>
      </c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</row>
    <row r="106" spans="1:45" ht="44" customHeight="1">
      <c r="A106" s="22" t="s">
        <v>19</v>
      </c>
      <c r="B106" s="23" t="s">
        <v>113</v>
      </c>
      <c r="C106" s="22" t="s">
        <v>116</v>
      </c>
      <c r="D106" s="22" t="s">
        <v>110</v>
      </c>
      <c r="E106" s="23" t="s">
        <v>106</v>
      </c>
      <c r="F106" s="23">
        <v>2243</v>
      </c>
      <c r="G106" s="23">
        <v>33</v>
      </c>
      <c r="H106" s="23">
        <v>0</v>
      </c>
      <c r="I106" s="23">
        <v>2276</v>
      </c>
      <c r="J106" s="23">
        <v>3</v>
      </c>
      <c r="K106" s="23">
        <v>0.3</v>
      </c>
      <c r="L106" s="23">
        <v>3.75</v>
      </c>
      <c r="M106" s="23">
        <v>15</v>
      </c>
      <c r="N106" s="24" t="e">
        <f>MAX(0,F106-H106-#REF!)*J106/1000000 + H106*K106/1000000 +#REF!* L106/1000000</f>
        <v>#REF!</v>
      </c>
      <c r="O106" s="24">
        <f t="shared" si="6"/>
        <v>4.95E-4</v>
      </c>
      <c r="P106" s="24" t="e">
        <f t="shared" si="7"/>
        <v>#REF!</v>
      </c>
      <c r="Q106" s="22" t="s">
        <v>115</v>
      </c>
      <c r="R106" s="22" t="s">
        <v>108</v>
      </c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</row>
    <row r="107" spans="1:45" ht="44" customHeight="1">
      <c r="A107" s="25" t="s">
        <v>19</v>
      </c>
      <c r="B107" s="26" t="s">
        <v>113</v>
      </c>
      <c r="C107" s="25" t="s">
        <v>116</v>
      </c>
      <c r="D107" s="25" t="s">
        <v>110</v>
      </c>
      <c r="E107" s="26" t="s">
        <v>106</v>
      </c>
      <c r="F107" s="26">
        <v>3210</v>
      </c>
      <c r="G107" s="26">
        <v>33</v>
      </c>
      <c r="H107" s="26">
        <v>0</v>
      </c>
      <c r="I107" s="26">
        <v>3243</v>
      </c>
      <c r="J107" s="26">
        <v>3</v>
      </c>
      <c r="K107" s="26">
        <v>0.3</v>
      </c>
      <c r="L107" s="26">
        <v>3.75</v>
      </c>
      <c r="M107" s="26">
        <v>15</v>
      </c>
      <c r="N107" s="27" t="e">
        <f>MAX(0,F107-H107-#REF!)*J107/1000000 + H107*K107/1000000 +#REF!* L107/1000000</f>
        <v>#REF!</v>
      </c>
      <c r="O107" s="27">
        <f t="shared" si="6"/>
        <v>4.95E-4</v>
      </c>
      <c r="P107" s="27" t="e">
        <f t="shared" si="7"/>
        <v>#REF!</v>
      </c>
      <c r="Q107" s="25" t="s">
        <v>115</v>
      </c>
      <c r="R107" s="25" t="s">
        <v>108</v>
      </c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</row>
    <row r="108" spans="1:45" ht="44" customHeight="1">
      <c r="A108" s="22" t="s">
        <v>19</v>
      </c>
      <c r="B108" s="23" t="s">
        <v>113</v>
      </c>
      <c r="C108" s="22" t="s">
        <v>116</v>
      </c>
      <c r="D108" s="22" t="s">
        <v>110</v>
      </c>
      <c r="E108" s="23" t="s">
        <v>106</v>
      </c>
      <c r="F108" s="23">
        <v>2575</v>
      </c>
      <c r="G108" s="23">
        <v>33</v>
      </c>
      <c r="H108" s="23">
        <v>0</v>
      </c>
      <c r="I108" s="23">
        <v>2608</v>
      </c>
      <c r="J108" s="23">
        <v>3</v>
      </c>
      <c r="K108" s="23">
        <v>0.3</v>
      </c>
      <c r="L108" s="23">
        <v>3.75</v>
      </c>
      <c r="M108" s="23">
        <v>15</v>
      </c>
      <c r="N108" s="24" t="e">
        <f>MAX(0,F108-H108-#REF!)*J108/1000000 + H108*K108/1000000 +#REF!* L108/1000000</f>
        <v>#REF!</v>
      </c>
      <c r="O108" s="24">
        <f t="shared" si="6"/>
        <v>4.95E-4</v>
      </c>
      <c r="P108" s="24" t="e">
        <f t="shared" si="7"/>
        <v>#REF!</v>
      </c>
      <c r="Q108" s="22" t="s">
        <v>115</v>
      </c>
      <c r="R108" s="22" t="s">
        <v>108</v>
      </c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</row>
    <row r="109" spans="1:45" ht="44" customHeight="1">
      <c r="A109" s="25" t="s">
        <v>19</v>
      </c>
      <c r="B109" s="26" t="s">
        <v>113</v>
      </c>
      <c r="C109" s="25" t="s">
        <v>116</v>
      </c>
      <c r="D109" s="25" t="s">
        <v>110</v>
      </c>
      <c r="E109" s="26" t="s">
        <v>106</v>
      </c>
      <c r="F109" s="26">
        <v>2649</v>
      </c>
      <c r="G109" s="26">
        <v>33</v>
      </c>
      <c r="H109" s="26">
        <v>0</v>
      </c>
      <c r="I109" s="26">
        <v>2682</v>
      </c>
      <c r="J109" s="26">
        <v>3</v>
      </c>
      <c r="K109" s="26">
        <v>0.3</v>
      </c>
      <c r="L109" s="26">
        <v>3.75</v>
      </c>
      <c r="M109" s="26">
        <v>15</v>
      </c>
      <c r="N109" s="27" t="e">
        <f>MAX(0,F109-H109-#REF!)*J109/1000000 + H109*K109/1000000 +#REF!* L109/1000000</f>
        <v>#REF!</v>
      </c>
      <c r="O109" s="27">
        <f t="shared" si="6"/>
        <v>4.95E-4</v>
      </c>
      <c r="P109" s="27" t="e">
        <f t="shared" si="7"/>
        <v>#REF!</v>
      </c>
      <c r="Q109" s="25" t="s">
        <v>115</v>
      </c>
      <c r="R109" s="25" t="s">
        <v>108</v>
      </c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</row>
    <row r="110" spans="1:45" ht="44" customHeight="1">
      <c r="A110" s="22" t="s">
        <v>19</v>
      </c>
      <c r="B110" s="23" t="s">
        <v>113</v>
      </c>
      <c r="C110" s="22" t="s">
        <v>116</v>
      </c>
      <c r="D110" s="22" t="s">
        <v>110</v>
      </c>
      <c r="E110" s="23" t="s">
        <v>106</v>
      </c>
      <c r="F110" s="23">
        <v>3727</v>
      </c>
      <c r="G110" s="23">
        <v>33</v>
      </c>
      <c r="H110" s="23">
        <v>0</v>
      </c>
      <c r="I110" s="23">
        <v>3760</v>
      </c>
      <c r="J110" s="23">
        <v>3</v>
      </c>
      <c r="K110" s="23">
        <v>0.3</v>
      </c>
      <c r="L110" s="23">
        <v>3.75</v>
      </c>
      <c r="M110" s="23">
        <v>15</v>
      </c>
      <c r="N110" s="24" t="e">
        <f>MAX(0,F110-H110-#REF!)*J110/1000000 + H110*K110/1000000 +#REF!* L110/1000000</f>
        <v>#REF!</v>
      </c>
      <c r="O110" s="24">
        <f t="shared" si="6"/>
        <v>4.95E-4</v>
      </c>
      <c r="P110" s="24" t="e">
        <f t="shared" si="7"/>
        <v>#REF!</v>
      </c>
      <c r="Q110" s="22" t="s">
        <v>115</v>
      </c>
      <c r="R110" s="22" t="s">
        <v>108</v>
      </c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</row>
    <row r="111" spans="1:45" ht="44" customHeight="1">
      <c r="A111" s="25" t="s">
        <v>19</v>
      </c>
      <c r="B111" s="26" t="s">
        <v>113</v>
      </c>
      <c r="C111" s="25" t="s">
        <v>116</v>
      </c>
      <c r="D111" s="25" t="s">
        <v>110</v>
      </c>
      <c r="E111" s="26" t="s">
        <v>106</v>
      </c>
      <c r="F111" s="26">
        <v>2557</v>
      </c>
      <c r="G111" s="26">
        <v>33</v>
      </c>
      <c r="H111" s="26">
        <v>0</v>
      </c>
      <c r="I111" s="26">
        <v>2590</v>
      </c>
      <c r="J111" s="26">
        <v>3</v>
      </c>
      <c r="K111" s="26">
        <v>0.3</v>
      </c>
      <c r="L111" s="26">
        <v>3.75</v>
      </c>
      <c r="M111" s="26">
        <v>15</v>
      </c>
      <c r="N111" s="27" t="e">
        <f>MAX(0,F111-H111-#REF!)*J111/1000000 + H111*K111/1000000 +#REF!* L111/1000000</f>
        <v>#REF!</v>
      </c>
      <c r="O111" s="27">
        <f t="shared" si="6"/>
        <v>4.95E-4</v>
      </c>
      <c r="P111" s="27" t="e">
        <f t="shared" si="7"/>
        <v>#REF!</v>
      </c>
      <c r="Q111" s="25" t="s">
        <v>115</v>
      </c>
      <c r="R111" s="25" t="s">
        <v>108</v>
      </c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</row>
    <row r="112" spans="1:45" ht="44" customHeight="1">
      <c r="A112" s="22" t="s">
        <v>19</v>
      </c>
      <c r="B112" s="23" t="s">
        <v>113</v>
      </c>
      <c r="C112" s="22" t="s">
        <v>116</v>
      </c>
      <c r="D112" s="22" t="s">
        <v>110</v>
      </c>
      <c r="E112" s="23" t="s">
        <v>106</v>
      </c>
      <c r="F112" s="23">
        <v>3852</v>
      </c>
      <c r="G112" s="23">
        <v>33</v>
      </c>
      <c r="H112" s="23">
        <v>0</v>
      </c>
      <c r="I112" s="23">
        <v>3885</v>
      </c>
      <c r="J112" s="23">
        <v>3</v>
      </c>
      <c r="K112" s="23">
        <v>0.3</v>
      </c>
      <c r="L112" s="23">
        <v>3.75</v>
      </c>
      <c r="M112" s="23">
        <v>15</v>
      </c>
      <c r="N112" s="24" t="e">
        <f>MAX(0,F112-H112-#REF!)*J112/1000000 + H112*K112/1000000 +#REF!* L112/1000000</f>
        <v>#REF!</v>
      </c>
      <c r="O112" s="24">
        <f t="shared" si="6"/>
        <v>4.95E-4</v>
      </c>
      <c r="P112" s="24" t="e">
        <f t="shared" si="7"/>
        <v>#REF!</v>
      </c>
      <c r="Q112" s="22" t="s">
        <v>115</v>
      </c>
      <c r="R112" s="22" t="s">
        <v>108</v>
      </c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</row>
    <row r="113" spans="1:45" ht="44" customHeight="1">
      <c r="A113" s="25" t="s">
        <v>19</v>
      </c>
      <c r="B113" s="26" t="s">
        <v>113</v>
      </c>
      <c r="C113" s="25" t="s">
        <v>116</v>
      </c>
      <c r="D113" s="25" t="s">
        <v>110</v>
      </c>
      <c r="E113" s="26" t="s">
        <v>106</v>
      </c>
      <c r="F113" s="26">
        <v>3499</v>
      </c>
      <c r="G113" s="26">
        <v>33</v>
      </c>
      <c r="H113" s="26">
        <v>0</v>
      </c>
      <c r="I113" s="26">
        <v>3532</v>
      </c>
      <c r="J113" s="26">
        <v>3</v>
      </c>
      <c r="K113" s="26">
        <v>0.3</v>
      </c>
      <c r="L113" s="26">
        <v>3.75</v>
      </c>
      <c r="M113" s="26">
        <v>15</v>
      </c>
      <c r="N113" s="27" t="e">
        <f>MAX(0,F113-H113-#REF!)*J113/1000000 + H113*K113/1000000 +#REF!* L113/1000000</f>
        <v>#REF!</v>
      </c>
      <c r="O113" s="27">
        <f t="shared" si="6"/>
        <v>4.95E-4</v>
      </c>
      <c r="P113" s="27" t="e">
        <f t="shared" si="7"/>
        <v>#REF!</v>
      </c>
      <c r="Q113" s="25" t="s">
        <v>115</v>
      </c>
      <c r="R113" s="25" t="s">
        <v>108</v>
      </c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</row>
    <row r="114" spans="1:45" ht="44" customHeight="1">
      <c r="A114" s="22" t="s">
        <v>19</v>
      </c>
      <c r="B114" s="23" t="s">
        <v>113</v>
      </c>
      <c r="C114" s="22" t="s">
        <v>116</v>
      </c>
      <c r="D114" s="22" t="s">
        <v>110</v>
      </c>
      <c r="E114" s="23" t="s">
        <v>106</v>
      </c>
      <c r="F114" s="23">
        <v>3629</v>
      </c>
      <c r="G114" s="23">
        <v>248</v>
      </c>
      <c r="H114" s="23">
        <v>0</v>
      </c>
      <c r="I114" s="23">
        <v>3877</v>
      </c>
      <c r="J114" s="23">
        <v>3</v>
      </c>
      <c r="K114" s="23">
        <v>0.3</v>
      </c>
      <c r="L114" s="23">
        <v>3.75</v>
      </c>
      <c r="M114" s="23">
        <v>15</v>
      </c>
      <c r="N114" s="24" t="e">
        <f>MAX(0,F114-H114-#REF!)*J114/1000000 + H114*K114/1000000 +#REF!* L114/1000000</f>
        <v>#REF!</v>
      </c>
      <c r="O114" s="24">
        <f t="shared" si="6"/>
        <v>3.7200000000000002E-3</v>
      </c>
      <c r="P114" s="24" t="e">
        <f t="shared" si="7"/>
        <v>#REF!</v>
      </c>
      <c r="Q114" s="22" t="s">
        <v>115</v>
      </c>
      <c r="R114" s="22" t="s">
        <v>108</v>
      </c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</row>
    <row r="115" spans="1:45" ht="44" customHeight="1">
      <c r="A115" s="25" t="s">
        <v>19</v>
      </c>
      <c r="B115" s="26" t="s">
        <v>113</v>
      </c>
      <c r="C115" s="25" t="s">
        <v>116</v>
      </c>
      <c r="D115" s="25" t="s">
        <v>110</v>
      </c>
      <c r="E115" s="26" t="s">
        <v>106</v>
      </c>
      <c r="F115" s="26">
        <v>9275</v>
      </c>
      <c r="G115" s="26">
        <v>696</v>
      </c>
      <c r="H115" s="26">
        <v>0</v>
      </c>
      <c r="I115" s="26">
        <v>9971</v>
      </c>
      <c r="J115" s="26">
        <v>3</v>
      </c>
      <c r="K115" s="26">
        <v>0.3</v>
      </c>
      <c r="L115" s="26">
        <v>3.75</v>
      </c>
      <c r="M115" s="26">
        <v>15</v>
      </c>
      <c r="N115" s="27" t="e">
        <f>MAX(0,F115-H115-#REF!)*J115/1000000 + H115*K115/1000000 +#REF!* L115/1000000</f>
        <v>#REF!</v>
      </c>
      <c r="O115" s="27">
        <f t="shared" si="6"/>
        <v>1.044E-2</v>
      </c>
      <c r="P115" s="27" t="e">
        <f t="shared" si="7"/>
        <v>#REF!</v>
      </c>
      <c r="Q115" s="25" t="s">
        <v>115</v>
      </c>
      <c r="R115" s="25" t="s">
        <v>108</v>
      </c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</row>
    <row r="116" spans="1:45" ht="44" customHeight="1">
      <c r="A116" s="22" t="s">
        <v>19</v>
      </c>
      <c r="B116" s="23" t="s">
        <v>113</v>
      </c>
      <c r="C116" s="22" t="s">
        <v>116</v>
      </c>
      <c r="D116" s="22" t="s">
        <v>110</v>
      </c>
      <c r="E116" s="23" t="s">
        <v>106</v>
      </c>
      <c r="F116" s="23">
        <v>6527</v>
      </c>
      <c r="G116" s="23">
        <v>714</v>
      </c>
      <c r="H116" s="23">
        <v>0</v>
      </c>
      <c r="I116" s="23">
        <v>7241</v>
      </c>
      <c r="J116" s="23">
        <v>3</v>
      </c>
      <c r="K116" s="23">
        <v>0.3</v>
      </c>
      <c r="L116" s="23">
        <v>3.75</v>
      </c>
      <c r="M116" s="23">
        <v>15</v>
      </c>
      <c r="N116" s="24" t="e">
        <f>MAX(0,F116-H116-#REF!)*J116/1000000 + H116*K116/1000000 +#REF!* L116/1000000</f>
        <v>#REF!</v>
      </c>
      <c r="O116" s="24">
        <f t="shared" si="6"/>
        <v>1.0710000000000001E-2</v>
      </c>
      <c r="P116" s="24" t="e">
        <f t="shared" si="7"/>
        <v>#REF!</v>
      </c>
      <c r="Q116" s="22" t="s">
        <v>115</v>
      </c>
      <c r="R116" s="22" t="s">
        <v>108</v>
      </c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</row>
    <row r="117" spans="1:45" ht="44" customHeight="1">
      <c r="A117" s="25" t="s">
        <v>19</v>
      </c>
      <c r="B117" s="26" t="s">
        <v>113</v>
      </c>
      <c r="C117" s="25" t="s">
        <v>116</v>
      </c>
      <c r="D117" s="25" t="s">
        <v>110</v>
      </c>
      <c r="E117" s="26" t="s">
        <v>106</v>
      </c>
      <c r="F117" s="26">
        <v>5757</v>
      </c>
      <c r="G117" s="26">
        <v>759</v>
      </c>
      <c r="H117" s="26">
        <v>0</v>
      </c>
      <c r="I117" s="26">
        <v>6516</v>
      </c>
      <c r="J117" s="26">
        <v>3</v>
      </c>
      <c r="K117" s="26">
        <v>0.3</v>
      </c>
      <c r="L117" s="26">
        <v>3.75</v>
      </c>
      <c r="M117" s="26">
        <v>15</v>
      </c>
      <c r="N117" s="27" t="e">
        <f>MAX(0,F117-H117-#REF!)*J117/1000000 + H117*K117/1000000 +#REF!* L117/1000000</f>
        <v>#REF!</v>
      </c>
      <c r="O117" s="27">
        <f t="shared" si="6"/>
        <v>1.1384999999999999E-2</v>
      </c>
      <c r="P117" s="27" t="e">
        <f t="shared" si="7"/>
        <v>#REF!</v>
      </c>
      <c r="Q117" s="25" t="s">
        <v>115</v>
      </c>
      <c r="R117" s="25" t="s">
        <v>108</v>
      </c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</row>
    <row r="118" spans="1:45" ht="44" customHeight="1">
      <c r="A118" s="22" t="s">
        <v>19</v>
      </c>
      <c r="B118" s="23" t="s">
        <v>113</v>
      </c>
      <c r="C118" s="22" t="s">
        <v>116</v>
      </c>
      <c r="D118" s="22" t="s">
        <v>111</v>
      </c>
      <c r="E118" s="23" t="s">
        <v>106</v>
      </c>
      <c r="F118" s="23">
        <v>2058</v>
      </c>
      <c r="G118" s="23">
        <v>33</v>
      </c>
      <c r="H118" s="23">
        <v>0</v>
      </c>
      <c r="I118" s="23">
        <v>2091</v>
      </c>
      <c r="J118" s="23">
        <v>3</v>
      </c>
      <c r="K118" s="23">
        <v>0.3</v>
      </c>
      <c r="L118" s="23">
        <v>3.75</v>
      </c>
      <c r="M118" s="23">
        <v>15</v>
      </c>
      <c r="N118" s="24" t="e">
        <f>MAX(0,F118-H118-#REF!)*J118/1000000 + H118*K118/1000000 +#REF!* L118/1000000</f>
        <v>#REF!</v>
      </c>
      <c r="O118" s="24">
        <f t="shared" si="6"/>
        <v>4.95E-4</v>
      </c>
      <c r="P118" s="24" t="e">
        <f t="shared" si="7"/>
        <v>#REF!</v>
      </c>
      <c r="Q118" s="22" t="s">
        <v>115</v>
      </c>
      <c r="R118" s="22" t="s">
        <v>108</v>
      </c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</row>
    <row r="119" spans="1:45" ht="44" customHeight="1">
      <c r="A119" s="25" t="s">
        <v>19</v>
      </c>
      <c r="B119" s="26" t="s">
        <v>113</v>
      </c>
      <c r="C119" s="25" t="s">
        <v>116</v>
      </c>
      <c r="D119" s="25" t="s">
        <v>111</v>
      </c>
      <c r="E119" s="26" t="s">
        <v>106</v>
      </c>
      <c r="F119" s="26">
        <v>5258</v>
      </c>
      <c r="G119" s="26">
        <v>33</v>
      </c>
      <c r="H119" s="26">
        <v>0</v>
      </c>
      <c r="I119" s="26">
        <v>5291</v>
      </c>
      <c r="J119" s="26">
        <v>3</v>
      </c>
      <c r="K119" s="26">
        <v>0.3</v>
      </c>
      <c r="L119" s="26">
        <v>3.75</v>
      </c>
      <c r="M119" s="26">
        <v>15</v>
      </c>
      <c r="N119" s="27" t="e">
        <f>MAX(0,F119-H119-#REF!)*J119/1000000 + H119*K119/1000000 +#REF!* L119/1000000</f>
        <v>#REF!</v>
      </c>
      <c r="O119" s="27">
        <f t="shared" si="6"/>
        <v>4.95E-4</v>
      </c>
      <c r="P119" s="27" t="e">
        <f t="shared" si="7"/>
        <v>#REF!</v>
      </c>
      <c r="Q119" s="25" t="s">
        <v>115</v>
      </c>
      <c r="R119" s="25" t="s">
        <v>108</v>
      </c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</row>
    <row r="120" spans="1:45" ht="44" customHeight="1">
      <c r="A120" s="22" t="s">
        <v>19</v>
      </c>
      <c r="B120" s="23" t="s">
        <v>113</v>
      </c>
      <c r="C120" s="22" t="s">
        <v>116</v>
      </c>
      <c r="D120" s="22" t="s">
        <v>111</v>
      </c>
      <c r="E120" s="23" t="s">
        <v>106</v>
      </c>
      <c r="F120" s="23">
        <v>6028</v>
      </c>
      <c r="G120" s="23">
        <v>33</v>
      </c>
      <c r="H120" s="23">
        <v>0</v>
      </c>
      <c r="I120" s="23">
        <v>6061</v>
      </c>
      <c r="J120" s="23">
        <v>3</v>
      </c>
      <c r="K120" s="23">
        <v>0.3</v>
      </c>
      <c r="L120" s="23">
        <v>3.75</v>
      </c>
      <c r="M120" s="23">
        <v>15</v>
      </c>
      <c r="N120" s="24" t="e">
        <f>MAX(0,F120-H120-#REF!)*J120/1000000 + H120*K120/1000000 +#REF!* L120/1000000</f>
        <v>#REF!</v>
      </c>
      <c r="O120" s="24">
        <f t="shared" si="6"/>
        <v>4.95E-4</v>
      </c>
      <c r="P120" s="24" t="e">
        <f t="shared" si="7"/>
        <v>#REF!</v>
      </c>
      <c r="Q120" s="22" t="s">
        <v>115</v>
      </c>
      <c r="R120" s="22" t="s">
        <v>108</v>
      </c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</row>
    <row r="121" spans="1:45" ht="44" customHeight="1">
      <c r="A121" s="25" t="s">
        <v>19</v>
      </c>
      <c r="B121" s="26" t="s">
        <v>113</v>
      </c>
      <c r="C121" s="25" t="s">
        <v>116</v>
      </c>
      <c r="D121" s="25" t="s">
        <v>111</v>
      </c>
      <c r="E121" s="26" t="s">
        <v>106</v>
      </c>
      <c r="F121" s="26">
        <v>8776</v>
      </c>
      <c r="G121" s="26">
        <v>33</v>
      </c>
      <c r="H121" s="26">
        <v>0</v>
      </c>
      <c r="I121" s="26">
        <v>8809</v>
      </c>
      <c r="J121" s="26">
        <v>3</v>
      </c>
      <c r="K121" s="26">
        <v>0.3</v>
      </c>
      <c r="L121" s="26">
        <v>3.75</v>
      </c>
      <c r="M121" s="26">
        <v>15</v>
      </c>
      <c r="N121" s="27" t="e">
        <f>MAX(0,F121-H121-#REF!)*J121/1000000 + H121*K121/1000000 +#REF!* L121/1000000</f>
        <v>#REF!</v>
      </c>
      <c r="O121" s="27">
        <f t="shared" si="6"/>
        <v>4.95E-4</v>
      </c>
      <c r="P121" s="27" t="e">
        <f t="shared" si="7"/>
        <v>#REF!</v>
      </c>
      <c r="Q121" s="25" t="s">
        <v>115</v>
      </c>
      <c r="R121" s="25" t="s">
        <v>108</v>
      </c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</row>
    <row r="122" spans="1:45" ht="44" customHeight="1">
      <c r="A122" s="22" t="s">
        <v>19</v>
      </c>
      <c r="B122" s="23" t="s">
        <v>113</v>
      </c>
      <c r="C122" s="22" t="s">
        <v>116</v>
      </c>
      <c r="D122" s="22" t="s">
        <v>111</v>
      </c>
      <c r="E122" s="23" t="s">
        <v>106</v>
      </c>
      <c r="F122" s="23">
        <v>2711</v>
      </c>
      <c r="G122" s="23">
        <v>33</v>
      </c>
      <c r="H122" s="23">
        <v>0</v>
      </c>
      <c r="I122" s="23">
        <v>2744</v>
      </c>
      <c r="J122" s="23">
        <v>3</v>
      </c>
      <c r="K122" s="23">
        <v>0.3</v>
      </c>
      <c r="L122" s="23">
        <v>3.75</v>
      </c>
      <c r="M122" s="23">
        <v>15</v>
      </c>
      <c r="N122" s="24" t="e">
        <f>MAX(0,F122-H122-#REF!)*J122/1000000 + H122*K122/1000000 +#REF!* L122/1000000</f>
        <v>#REF!</v>
      </c>
      <c r="O122" s="24">
        <f t="shared" si="6"/>
        <v>4.95E-4</v>
      </c>
      <c r="P122" s="24" t="e">
        <f t="shared" si="7"/>
        <v>#REF!</v>
      </c>
      <c r="Q122" s="22" t="s">
        <v>115</v>
      </c>
      <c r="R122" s="22" t="s">
        <v>108</v>
      </c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</row>
    <row r="123" spans="1:45" ht="44" customHeight="1">
      <c r="A123" s="25" t="s">
        <v>19</v>
      </c>
      <c r="B123" s="26" t="s">
        <v>113</v>
      </c>
      <c r="C123" s="25" t="s">
        <v>116</v>
      </c>
      <c r="D123" s="25" t="s">
        <v>111</v>
      </c>
      <c r="E123" s="26" t="s">
        <v>106</v>
      </c>
      <c r="F123" s="26">
        <v>1744</v>
      </c>
      <c r="G123" s="26">
        <v>33</v>
      </c>
      <c r="H123" s="26">
        <v>0</v>
      </c>
      <c r="I123" s="26">
        <v>1777</v>
      </c>
      <c r="J123" s="26">
        <v>3</v>
      </c>
      <c r="K123" s="26">
        <v>0.3</v>
      </c>
      <c r="L123" s="26">
        <v>3.75</v>
      </c>
      <c r="M123" s="26">
        <v>15</v>
      </c>
      <c r="N123" s="27" t="e">
        <f>MAX(0,F123-H123-#REF!)*J123/1000000 + H123*K123/1000000 +#REF!* L123/1000000</f>
        <v>#REF!</v>
      </c>
      <c r="O123" s="27">
        <f t="shared" si="6"/>
        <v>4.95E-4</v>
      </c>
      <c r="P123" s="27" t="e">
        <f t="shared" si="7"/>
        <v>#REF!</v>
      </c>
      <c r="Q123" s="25" t="s">
        <v>115</v>
      </c>
      <c r="R123" s="25" t="s">
        <v>108</v>
      </c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</row>
    <row r="124" spans="1:45" ht="44" customHeight="1">
      <c r="A124" s="22" t="s">
        <v>19</v>
      </c>
      <c r="B124" s="23" t="s">
        <v>113</v>
      </c>
      <c r="C124" s="22" t="s">
        <v>116</v>
      </c>
      <c r="D124" s="22" t="s">
        <v>111</v>
      </c>
      <c r="E124" s="23" t="s">
        <v>106</v>
      </c>
      <c r="F124" s="23">
        <v>2076</v>
      </c>
      <c r="G124" s="23">
        <v>33</v>
      </c>
      <c r="H124" s="23">
        <v>0</v>
      </c>
      <c r="I124" s="23">
        <v>2109</v>
      </c>
      <c r="J124" s="23">
        <v>3</v>
      </c>
      <c r="K124" s="23">
        <v>0.3</v>
      </c>
      <c r="L124" s="23">
        <v>3.75</v>
      </c>
      <c r="M124" s="23">
        <v>15</v>
      </c>
      <c r="N124" s="24" t="e">
        <f>MAX(0,F124-H124-#REF!)*J124/1000000 + H124*K124/1000000 +#REF!* L124/1000000</f>
        <v>#REF!</v>
      </c>
      <c r="O124" s="24">
        <f t="shared" si="6"/>
        <v>4.95E-4</v>
      </c>
      <c r="P124" s="24" t="e">
        <f t="shared" si="7"/>
        <v>#REF!</v>
      </c>
      <c r="Q124" s="22" t="s">
        <v>115</v>
      </c>
      <c r="R124" s="22" t="s">
        <v>108</v>
      </c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</row>
    <row r="125" spans="1:45" ht="44" customHeight="1">
      <c r="A125" s="25" t="s">
        <v>19</v>
      </c>
      <c r="B125" s="26" t="s">
        <v>113</v>
      </c>
      <c r="C125" s="25" t="s">
        <v>116</v>
      </c>
      <c r="D125" s="25" t="s">
        <v>111</v>
      </c>
      <c r="E125" s="26" t="s">
        <v>106</v>
      </c>
      <c r="F125" s="26">
        <v>2150</v>
      </c>
      <c r="G125" s="26">
        <v>33</v>
      </c>
      <c r="H125" s="26">
        <v>0</v>
      </c>
      <c r="I125" s="26">
        <v>2183</v>
      </c>
      <c r="J125" s="26">
        <v>3</v>
      </c>
      <c r="K125" s="26">
        <v>0.3</v>
      </c>
      <c r="L125" s="26">
        <v>3.75</v>
      </c>
      <c r="M125" s="26">
        <v>15</v>
      </c>
      <c r="N125" s="27" t="e">
        <f>MAX(0,F125-H125-#REF!)*J125/1000000 + H125*K125/1000000 +#REF!* L125/1000000</f>
        <v>#REF!</v>
      </c>
      <c r="O125" s="27">
        <f t="shared" si="6"/>
        <v>4.95E-4</v>
      </c>
      <c r="P125" s="27" t="e">
        <f t="shared" si="7"/>
        <v>#REF!</v>
      </c>
      <c r="Q125" s="25" t="s">
        <v>115</v>
      </c>
      <c r="R125" s="25" t="s">
        <v>108</v>
      </c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</row>
    <row r="126" spans="1:45" ht="44" customHeight="1">
      <c r="A126" s="22" t="s">
        <v>19</v>
      </c>
      <c r="B126" s="23" t="s">
        <v>113</v>
      </c>
      <c r="C126" s="22" t="s">
        <v>116</v>
      </c>
      <c r="D126" s="22" t="s">
        <v>111</v>
      </c>
      <c r="E126" s="23" t="s">
        <v>106</v>
      </c>
      <c r="F126" s="23">
        <v>3353</v>
      </c>
      <c r="G126" s="23">
        <v>33</v>
      </c>
      <c r="H126" s="23">
        <v>0</v>
      </c>
      <c r="I126" s="23">
        <v>3386</v>
      </c>
      <c r="J126" s="23">
        <v>3</v>
      </c>
      <c r="K126" s="23">
        <v>0.3</v>
      </c>
      <c r="L126" s="23">
        <v>3.75</v>
      </c>
      <c r="M126" s="23">
        <v>15</v>
      </c>
      <c r="N126" s="24" t="e">
        <f>MAX(0,F126-H126-#REF!)*J126/1000000 + H126*K126/1000000 +#REF!* L126/1000000</f>
        <v>#REF!</v>
      </c>
      <c r="O126" s="24">
        <f t="shared" si="6"/>
        <v>4.95E-4</v>
      </c>
      <c r="P126" s="24" t="e">
        <f t="shared" si="7"/>
        <v>#REF!</v>
      </c>
      <c r="Q126" s="22" t="s">
        <v>115</v>
      </c>
      <c r="R126" s="22" t="s">
        <v>108</v>
      </c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</row>
    <row r="127" spans="1:45" ht="44" customHeight="1">
      <c r="A127" s="25" t="s">
        <v>19</v>
      </c>
      <c r="B127" s="26" t="s">
        <v>113</v>
      </c>
      <c r="C127" s="25" t="s">
        <v>116</v>
      </c>
      <c r="D127" s="25" t="s">
        <v>111</v>
      </c>
      <c r="E127" s="26" t="s">
        <v>106</v>
      </c>
      <c r="F127" s="26">
        <v>3228</v>
      </c>
      <c r="G127" s="26">
        <v>33</v>
      </c>
      <c r="H127" s="26">
        <v>0</v>
      </c>
      <c r="I127" s="26">
        <v>3261</v>
      </c>
      <c r="J127" s="26">
        <v>3</v>
      </c>
      <c r="K127" s="26">
        <v>0.3</v>
      </c>
      <c r="L127" s="26">
        <v>3.75</v>
      </c>
      <c r="M127" s="26">
        <v>15</v>
      </c>
      <c r="N127" s="27" t="e">
        <f>MAX(0,F127-H127-#REF!)*J127/1000000 + H127*K127/1000000 +#REF!* L127/1000000</f>
        <v>#REF!</v>
      </c>
      <c r="O127" s="27">
        <f t="shared" si="6"/>
        <v>4.95E-4</v>
      </c>
      <c r="P127" s="27" t="e">
        <f t="shared" si="7"/>
        <v>#REF!</v>
      </c>
      <c r="Q127" s="25" t="s">
        <v>115</v>
      </c>
      <c r="R127" s="25" t="s">
        <v>108</v>
      </c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</row>
    <row r="128" spans="1:45" ht="44" customHeight="1">
      <c r="A128" s="22" t="s">
        <v>19</v>
      </c>
      <c r="B128" s="23" t="s">
        <v>113</v>
      </c>
      <c r="C128" s="22" t="s">
        <v>116</v>
      </c>
      <c r="D128" s="22" t="s">
        <v>111</v>
      </c>
      <c r="E128" s="23" t="s">
        <v>106</v>
      </c>
      <c r="F128" s="23">
        <v>3130</v>
      </c>
      <c r="G128" s="23">
        <v>33</v>
      </c>
      <c r="H128" s="23">
        <v>0</v>
      </c>
      <c r="I128" s="23">
        <v>3163</v>
      </c>
      <c r="J128" s="23">
        <v>3</v>
      </c>
      <c r="K128" s="23">
        <v>0.3</v>
      </c>
      <c r="L128" s="23">
        <v>3.75</v>
      </c>
      <c r="M128" s="23">
        <v>15</v>
      </c>
      <c r="N128" s="24" t="e">
        <f>MAX(0,F128-H128-#REF!)*J128/1000000 + H128*K128/1000000 +#REF!* L128/1000000</f>
        <v>#REF!</v>
      </c>
      <c r="O128" s="24">
        <f t="shared" si="6"/>
        <v>4.95E-4</v>
      </c>
      <c r="P128" s="24" t="e">
        <f t="shared" si="7"/>
        <v>#REF!</v>
      </c>
      <c r="Q128" s="22" t="s">
        <v>115</v>
      </c>
      <c r="R128" s="22" t="s">
        <v>108</v>
      </c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</row>
    <row r="129" spans="1:45" ht="44" customHeight="1">
      <c r="A129" s="25" t="s">
        <v>19</v>
      </c>
      <c r="B129" s="26" t="s">
        <v>113</v>
      </c>
      <c r="C129" s="25" t="s">
        <v>116</v>
      </c>
      <c r="D129" s="25" t="s">
        <v>111</v>
      </c>
      <c r="E129" s="26" t="s">
        <v>106</v>
      </c>
      <c r="F129" s="26">
        <v>3000</v>
      </c>
      <c r="G129" s="26">
        <v>33</v>
      </c>
      <c r="H129" s="26">
        <v>0</v>
      </c>
      <c r="I129" s="26">
        <v>3033</v>
      </c>
      <c r="J129" s="26">
        <v>3</v>
      </c>
      <c r="K129" s="26">
        <v>0.3</v>
      </c>
      <c r="L129" s="26">
        <v>3.75</v>
      </c>
      <c r="M129" s="26">
        <v>15</v>
      </c>
      <c r="N129" s="27" t="e">
        <f>MAX(0,F129-H129-#REF!)*J129/1000000 + H129*K129/1000000 +#REF!* L129/1000000</f>
        <v>#REF!</v>
      </c>
      <c r="O129" s="27">
        <f t="shared" si="6"/>
        <v>4.95E-4</v>
      </c>
      <c r="P129" s="27" t="e">
        <f t="shared" si="7"/>
        <v>#REF!</v>
      </c>
      <c r="Q129" s="25" t="s">
        <v>115</v>
      </c>
      <c r="R129" s="25" t="s">
        <v>108</v>
      </c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</row>
    <row r="130" spans="1:45" ht="44" customHeight="1">
      <c r="A130" s="22" t="s">
        <v>19</v>
      </c>
      <c r="B130" s="23" t="s">
        <v>113</v>
      </c>
      <c r="C130" s="22" t="s">
        <v>116</v>
      </c>
      <c r="D130" s="22" t="s">
        <v>112</v>
      </c>
      <c r="E130" s="23" t="s">
        <v>106</v>
      </c>
      <c r="F130" s="23">
        <v>2925</v>
      </c>
      <c r="G130" s="23">
        <v>441</v>
      </c>
      <c r="H130" s="23">
        <v>0</v>
      </c>
      <c r="I130" s="23">
        <v>3366</v>
      </c>
      <c r="J130" s="23">
        <v>3</v>
      </c>
      <c r="K130" s="23">
        <v>0.3</v>
      </c>
      <c r="L130" s="23">
        <v>3.75</v>
      </c>
      <c r="M130" s="23">
        <v>15</v>
      </c>
      <c r="N130" s="24" t="e">
        <f>MAX(0,F130-H130-#REF!)*J130/1000000 + H130*K130/1000000 +#REF!* L130/1000000</f>
        <v>#REF!</v>
      </c>
      <c r="O130" s="24">
        <f t="shared" si="6"/>
        <v>6.6150000000000002E-3</v>
      </c>
      <c r="P130" s="24" t="e">
        <f t="shared" ref="P130:P134" si="8">N130+O130</f>
        <v>#REF!</v>
      </c>
      <c r="Q130" s="22" t="s">
        <v>115</v>
      </c>
      <c r="R130" s="22" t="s">
        <v>108</v>
      </c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</row>
    <row r="131" spans="1:45" ht="44" customHeight="1">
      <c r="A131" s="25" t="s">
        <v>19</v>
      </c>
      <c r="B131" s="26" t="s">
        <v>113</v>
      </c>
      <c r="C131" s="25" t="s">
        <v>116</v>
      </c>
      <c r="D131" s="25" t="s">
        <v>112</v>
      </c>
      <c r="E131" s="26" t="s">
        <v>106</v>
      </c>
      <c r="F131" s="26">
        <v>2859</v>
      </c>
      <c r="G131" s="26">
        <v>732</v>
      </c>
      <c r="H131" s="26">
        <v>0</v>
      </c>
      <c r="I131" s="26">
        <v>3591</v>
      </c>
      <c r="J131" s="26">
        <v>3</v>
      </c>
      <c r="K131" s="26">
        <v>0.3</v>
      </c>
      <c r="L131" s="26">
        <v>3.75</v>
      </c>
      <c r="M131" s="26">
        <v>15</v>
      </c>
      <c r="N131" s="27" t="e">
        <f>MAX(0,F131-H131-#REF!)*J131/1000000 + H131*K131/1000000 +#REF!* L131/1000000</f>
        <v>#REF!</v>
      </c>
      <c r="O131" s="27">
        <f t="shared" si="6"/>
        <v>1.098E-2</v>
      </c>
      <c r="P131" s="27" t="e">
        <f t="shared" si="8"/>
        <v>#REF!</v>
      </c>
      <c r="Q131" s="25" t="s">
        <v>115</v>
      </c>
      <c r="R131" s="25" t="s">
        <v>108</v>
      </c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</row>
    <row r="132" spans="1:45" ht="44" customHeight="1">
      <c r="A132" s="22" t="s">
        <v>19</v>
      </c>
      <c r="B132" s="23" t="s">
        <v>113</v>
      </c>
      <c r="C132" s="22" t="s">
        <v>116</v>
      </c>
      <c r="D132" s="22" t="s">
        <v>112</v>
      </c>
      <c r="E132" s="23" t="s">
        <v>106</v>
      </c>
      <c r="F132" s="23">
        <v>6927</v>
      </c>
      <c r="G132" s="23">
        <v>927</v>
      </c>
      <c r="H132" s="23">
        <v>0</v>
      </c>
      <c r="I132" s="23">
        <v>7854</v>
      </c>
      <c r="J132" s="23">
        <v>3</v>
      </c>
      <c r="K132" s="23">
        <v>0.3</v>
      </c>
      <c r="L132" s="23">
        <v>3.75</v>
      </c>
      <c r="M132" s="23">
        <v>15</v>
      </c>
      <c r="N132" s="24" t="e">
        <f>MAX(0,F132-H132-#REF!)*J132/1000000 + H132*K132/1000000 +#REF!* L132/1000000</f>
        <v>#REF!</v>
      </c>
      <c r="O132" s="24">
        <f t="shared" si="6"/>
        <v>1.3905000000000001E-2</v>
      </c>
      <c r="P132" s="24" t="e">
        <f t="shared" si="8"/>
        <v>#REF!</v>
      </c>
      <c r="Q132" s="22" t="s">
        <v>115</v>
      </c>
      <c r="R132" s="22" t="s">
        <v>108</v>
      </c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</row>
    <row r="133" spans="1:45" ht="44" customHeight="1">
      <c r="A133" s="25" t="s">
        <v>19</v>
      </c>
      <c r="B133" s="26" t="s">
        <v>113</v>
      </c>
      <c r="C133" s="25" t="s">
        <v>116</v>
      </c>
      <c r="D133" s="25" t="s">
        <v>112</v>
      </c>
      <c r="E133" s="26" t="s">
        <v>106</v>
      </c>
      <c r="F133" s="26">
        <v>5369</v>
      </c>
      <c r="G133" s="26">
        <v>1389</v>
      </c>
      <c r="H133" s="26">
        <v>0</v>
      </c>
      <c r="I133" s="26">
        <v>6758</v>
      </c>
      <c r="J133" s="26">
        <v>3</v>
      </c>
      <c r="K133" s="26">
        <v>0.3</v>
      </c>
      <c r="L133" s="26">
        <v>3.75</v>
      </c>
      <c r="M133" s="26">
        <v>15</v>
      </c>
      <c r="N133" s="27" t="e">
        <f>MAX(0,F133-H133-#REF!)*J133/1000000 + H133*K133/1000000 +#REF!* L133/1000000</f>
        <v>#REF!</v>
      </c>
      <c r="O133" s="27">
        <f t="shared" si="6"/>
        <v>2.0834999999999999E-2</v>
      </c>
      <c r="P133" s="27" t="e">
        <f t="shared" si="8"/>
        <v>#REF!</v>
      </c>
      <c r="Q133" s="25" t="s">
        <v>115</v>
      </c>
      <c r="R133" s="25" t="s">
        <v>108</v>
      </c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</row>
    <row r="134" spans="1:45" ht="44" customHeight="1">
      <c r="A134" s="22" t="s">
        <v>19</v>
      </c>
      <c r="B134" s="23" t="s">
        <v>113</v>
      </c>
      <c r="C134" s="22" t="s">
        <v>116</v>
      </c>
      <c r="D134" s="22" t="s">
        <v>112</v>
      </c>
      <c r="E134" s="23" t="s">
        <v>106</v>
      </c>
      <c r="F134" s="23">
        <v>5012</v>
      </c>
      <c r="G134" s="23">
        <v>1541</v>
      </c>
      <c r="H134" s="23">
        <v>0</v>
      </c>
      <c r="I134" s="23">
        <v>6553</v>
      </c>
      <c r="J134" s="23">
        <v>3</v>
      </c>
      <c r="K134" s="23">
        <v>0.3</v>
      </c>
      <c r="L134" s="23">
        <v>3.75</v>
      </c>
      <c r="M134" s="23">
        <v>15</v>
      </c>
      <c r="N134" s="24" t="e">
        <f>MAX(0,F134-H134-#REF!)*J134/1000000 + H134*K134/1000000 +#REF!* L134/1000000</f>
        <v>#REF!</v>
      </c>
      <c r="O134" s="24">
        <f t="shared" si="6"/>
        <v>2.3115E-2</v>
      </c>
      <c r="P134" s="24" t="e">
        <f t="shared" si="8"/>
        <v>#REF!</v>
      </c>
      <c r="Q134" s="22" t="s">
        <v>115</v>
      </c>
      <c r="R134" s="22" t="s">
        <v>108</v>
      </c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</row>
    <row r="135" spans="1:45" ht="44" customHeight="1">
      <c r="A135" s="25" t="s">
        <v>22</v>
      </c>
      <c r="B135" s="26" t="s">
        <v>117</v>
      </c>
      <c r="C135" s="25" t="s">
        <v>118</v>
      </c>
      <c r="D135" s="25" t="s">
        <v>105</v>
      </c>
      <c r="E135" s="26" t="s">
        <v>106</v>
      </c>
      <c r="F135" s="26">
        <v>6545</v>
      </c>
      <c r="G135" s="26">
        <v>1275</v>
      </c>
      <c r="H135" s="26">
        <v>0</v>
      </c>
      <c r="I135" s="26">
        <v>7820</v>
      </c>
      <c r="J135" s="26"/>
      <c r="K135" s="26"/>
      <c r="L135" s="26"/>
      <c r="M135" s="26"/>
      <c r="N135" s="27"/>
      <c r="O135" s="27"/>
      <c r="P135" s="27"/>
      <c r="Q135" s="25" t="s">
        <v>119</v>
      </c>
      <c r="R135" s="25" t="s">
        <v>120</v>
      </c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</row>
    <row r="136" spans="1:45" ht="44" customHeight="1">
      <c r="A136" s="22" t="s">
        <v>22</v>
      </c>
      <c r="B136" s="23" t="s">
        <v>117</v>
      </c>
      <c r="C136" s="22" t="s">
        <v>118</v>
      </c>
      <c r="D136" s="22" t="s">
        <v>109</v>
      </c>
      <c r="E136" s="23" t="s">
        <v>106</v>
      </c>
      <c r="F136" s="23">
        <v>1513</v>
      </c>
      <c r="G136" s="23">
        <v>120</v>
      </c>
      <c r="H136" s="23">
        <v>0</v>
      </c>
      <c r="I136" s="23">
        <v>1633</v>
      </c>
      <c r="J136" s="23"/>
      <c r="K136" s="23"/>
      <c r="L136" s="23"/>
      <c r="M136" s="23"/>
      <c r="N136" s="24"/>
      <c r="O136" s="24"/>
      <c r="P136" s="24"/>
      <c r="Q136" s="22" t="s">
        <v>119</v>
      </c>
      <c r="R136" s="22" t="s">
        <v>120</v>
      </c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</row>
    <row r="137" spans="1:45" ht="44" customHeight="1">
      <c r="A137" s="25" t="s">
        <v>22</v>
      </c>
      <c r="B137" s="26" t="s">
        <v>117</v>
      </c>
      <c r="C137" s="25" t="s">
        <v>118</v>
      </c>
      <c r="D137" s="25" t="s">
        <v>109</v>
      </c>
      <c r="E137" s="26" t="s">
        <v>106</v>
      </c>
      <c r="F137" s="26">
        <v>8672</v>
      </c>
      <c r="G137" s="26">
        <v>1204</v>
      </c>
      <c r="H137" s="26">
        <v>0</v>
      </c>
      <c r="I137" s="26">
        <v>9876</v>
      </c>
      <c r="J137" s="26"/>
      <c r="K137" s="26"/>
      <c r="L137" s="26"/>
      <c r="M137" s="26"/>
      <c r="N137" s="27"/>
      <c r="O137" s="27"/>
      <c r="P137" s="27"/>
      <c r="Q137" s="25" t="s">
        <v>119</v>
      </c>
      <c r="R137" s="25" t="s">
        <v>120</v>
      </c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</row>
    <row r="138" spans="1:45" ht="44" customHeight="1">
      <c r="A138" s="22" t="s">
        <v>22</v>
      </c>
      <c r="B138" s="23" t="s">
        <v>117</v>
      </c>
      <c r="C138" s="22" t="s">
        <v>118</v>
      </c>
      <c r="D138" s="22" t="s">
        <v>109</v>
      </c>
      <c r="E138" s="23" t="s">
        <v>106</v>
      </c>
      <c r="F138" s="23">
        <v>1485</v>
      </c>
      <c r="G138" s="23">
        <v>409</v>
      </c>
      <c r="H138" s="23">
        <v>0</v>
      </c>
      <c r="I138" s="23">
        <v>1894</v>
      </c>
      <c r="J138" s="23"/>
      <c r="K138" s="23"/>
      <c r="L138" s="23"/>
      <c r="M138" s="23"/>
      <c r="N138" s="24"/>
      <c r="O138" s="24"/>
      <c r="P138" s="24"/>
      <c r="Q138" s="22" t="s">
        <v>119</v>
      </c>
      <c r="R138" s="22" t="s">
        <v>120</v>
      </c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</row>
    <row r="139" spans="1:45" ht="44" customHeight="1">
      <c r="A139" s="25" t="s">
        <v>22</v>
      </c>
      <c r="B139" s="26" t="s">
        <v>117</v>
      </c>
      <c r="C139" s="25" t="s">
        <v>118</v>
      </c>
      <c r="D139" s="25" t="s">
        <v>109</v>
      </c>
      <c r="E139" s="26" t="s">
        <v>106</v>
      </c>
      <c r="F139" s="26">
        <v>1531</v>
      </c>
      <c r="G139" s="26">
        <v>1148</v>
      </c>
      <c r="H139" s="26">
        <v>0</v>
      </c>
      <c r="I139" s="26">
        <v>2679</v>
      </c>
      <c r="J139" s="26"/>
      <c r="K139" s="26"/>
      <c r="L139" s="26"/>
      <c r="M139" s="26"/>
      <c r="N139" s="27"/>
      <c r="O139" s="27"/>
      <c r="P139" s="27"/>
      <c r="Q139" s="25" t="s">
        <v>119</v>
      </c>
      <c r="R139" s="25" t="s">
        <v>120</v>
      </c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</row>
    <row r="140" spans="1:45" ht="44" customHeight="1">
      <c r="A140" s="22" t="s">
        <v>22</v>
      </c>
      <c r="B140" s="23" t="s">
        <v>117</v>
      </c>
      <c r="C140" s="22" t="s">
        <v>118</v>
      </c>
      <c r="D140" s="22" t="s">
        <v>109</v>
      </c>
      <c r="E140" s="23" t="s">
        <v>106</v>
      </c>
      <c r="F140" s="23">
        <v>2719</v>
      </c>
      <c r="G140" s="23">
        <v>1124</v>
      </c>
      <c r="H140" s="23">
        <v>0</v>
      </c>
      <c r="I140" s="23">
        <v>3843</v>
      </c>
      <c r="J140" s="23"/>
      <c r="K140" s="23"/>
      <c r="L140" s="23"/>
      <c r="M140" s="23"/>
      <c r="N140" s="24"/>
      <c r="O140" s="24"/>
      <c r="P140" s="24"/>
      <c r="Q140" s="22" t="s">
        <v>119</v>
      </c>
      <c r="R140" s="22" t="s">
        <v>120</v>
      </c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</row>
    <row r="141" spans="1:45" ht="44" customHeight="1">
      <c r="A141" s="25" t="s">
        <v>22</v>
      </c>
      <c r="B141" s="26" t="s">
        <v>117</v>
      </c>
      <c r="C141" s="25" t="s">
        <v>118</v>
      </c>
      <c r="D141" s="25" t="s">
        <v>109</v>
      </c>
      <c r="E141" s="26" t="s">
        <v>106</v>
      </c>
      <c r="F141" s="26">
        <v>1184</v>
      </c>
      <c r="G141" s="26">
        <v>954</v>
      </c>
      <c r="H141" s="26">
        <v>0</v>
      </c>
      <c r="I141" s="26">
        <v>2138</v>
      </c>
      <c r="J141" s="26"/>
      <c r="K141" s="26"/>
      <c r="L141" s="26"/>
      <c r="M141" s="26"/>
      <c r="N141" s="27"/>
      <c r="O141" s="27"/>
      <c r="P141" s="27"/>
      <c r="Q141" s="25" t="s">
        <v>119</v>
      </c>
      <c r="R141" s="25" t="s">
        <v>120</v>
      </c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</row>
    <row r="142" spans="1:45" ht="44" customHeight="1">
      <c r="A142" s="22" t="s">
        <v>22</v>
      </c>
      <c r="B142" s="23" t="s">
        <v>117</v>
      </c>
      <c r="C142" s="22" t="s">
        <v>118</v>
      </c>
      <c r="D142" s="22" t="s">
        <v>109</v>
      </c>
      <c r="E142" s="23" t="s">
        <v>106</v>
      </c>
      <c r="F142" s="23">
        <v>2416</v>
      </c>
      <c r="G142" s="23">
        <v>1395</v>
      </c>
      <c r="H142" s="23">
        <v>0</v>
      </c>
      <c r="I142" s="23">
        <v>3811</v>
      </c>
      <c r="J142" s="23"/>
      <c r="K142" s="23"/>
      <c r="L142" s="23"/>
      <c r="M142" s="23"/>
      <c r="N142" s="24"/>
      <c r="O142" s="24"/>
      <c r="P142" s="24"/>
      <c r="Q142" s="22" t="s">
        <v>119</v>
      </c>
      <c r="R142" s="22" t="s">
        <v>120</v>
      </c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</row>
    <row r="143" spans="1:45" ht="44" customHeight="1">
      <c r="A143" s="25" t="s">
        <v>22</v>
      </c>
      <c r="B143" s="26" t="s">
        <v>117</v>
      </c>
      <c r="C143" s="25" t="s">
        <v>118</v>
      </c>
      <c r="D143" s="25" t="s">
        <v>109</v>
      </c>
      <c r="E143" s="26" t="s">
        <v>106</v>
      </c>
      <c r="F143" s="26">
        <v>2647</v>
      </c>
      <c r="G143" s="26">
        <v>2669</v>
      </c>
      <c r="H143" s="26">
        <v>0</v>
      </c>
      <c r="I143" s="26">
        <v>5316</v>
      </c>
      <c r="J143" s="26"/>
      <c r="K143" s="26"/>
      <c r="L143" s="26"/>
      <c r="M143" s="26"/>
      <c r="N143" s="27"/>
      <c r="O143" s="27"/>
      <c r="P143" s="27"/>
      <c r="Q143" s="25" t="s">
        <v>119</v>
      </c>
      <c r="R143" s="25" t="s">
        <v>120</v>
      </c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</row>
    <row r="144" spans="1:45" ht="44" customHeight="1">
      <c r="A144" s="22" t="s">
        <v>22</v>
      </c>
      <c r="B144" s="23" t="s">
        <v>117</v>
      </c>
      <c r="C144" s="22" t="s">
        <v>118</v>
      </c>
      <c r="D144" s="22" t="s">
        <v>109</v>
      </c>
      <c r="E144" s="23" t="s">
        <v>106</v>
      </c>
      <c r="F144" s="23">
        <v>2458</v>
      </c>
      <c r="G144" s="23">
        <v>1204</v>
      </c>
      <c r="H144" s="23">
        <v>0</v>
      </c>
      <c r="I144" s="23">
        <v>3662</v>
      </c>
      <c r="J144" s="23"/>
      <c r="K144" s="23"/>
      <c r="L144" s="23"/>
      <c r="M144" s="23"/>
      <c r="N144" s="24"/>
      <c r="O144" s="24"/>
      <c r="P144" s="24"/>
      <c r="Q144" s="22" t="s">
        <v>119</v>
      </c>
      <c r="R144" s="22" t="s">
        <v>120</v>
      </c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</row>
    <row r="145" spans="1:45" ht="44" customHeight="1">
      <c r="A145" s="25" t="s">
        <v>22</v>
      </c>
      <c r="B145" s="26" t="s">
        <v>117</v>
      </c>
      <c r="C145" s="25" t="s">
        <v>118</v>
      </c>
      <c r="D145" s="25" t="s">
        <v>109</v>
      </c>
      <c r="E145" s="26" t="s">
        <v>106</v>
      </c>
      <c r="F145" s="26">
        <v>5666</v>
      </c>
      <c r="G145" s="26">
        <v>1235</v>
      </c>
      <c r="H145" s="26">
        <v>0</v>
      </c>
      <c r="I145" s="26">
        <v>6901</v>
      </c>
      <c r="J145" s="26"/>
      <c r="K145" s="26"/>
      <c r="L145" s="26"/>
      <c r="M145" s="26"/>
      <c r="N145" s="27"/>
      <c r="O145" s="27"/>
      <c r="P145" s="27"/>
      <c r="Q145" s="25" t="s">
        <v>119</v>
      </c>
      <c r="R145" s="25" t="s">
        <v>120</v>
      </c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</row>
    <row r="146" spans="1:45" ht="44" customHeight="1">
      <c r="A146" s="22" t="s">
        <v>22</v>
      </c>
      <c r="B146" s="23" t="s">
        <v>117</v>
      </c>
      <c r="C146" s="22" t="s">
        <v>118</v>
      </c>
      <c r="D146" s="22" t="s">
        <v>109</v>
      </c>
      <c r="E146" s="23" t="s">
        <v>106</v>
      </c>
      <c r="F146" s="23">
        <v>2034</v>
      </c>
      <c r="G146" s="23">
        <v>2002</v>
      </c>
      <c r="H146" s="23">
        <v>0</v>
      </c>
      <c r="I146" s="23">
        <v>4036</v>
      </c>
      <c r="J146" s="23"/>
      <c r="K146" s="23"/>
      <c r="L146" s="23"/>
      <c r="M146" s="23"/>
      <c r="N146" s="24"/>
      <c r="O146" s="24"/>
      <c r="P146" s="24"/>
      <c r="Q146" s="22" t="s">
        <v>119</v>
      </c>
      <c r="R146" s="22" t="s">
        <v>120</v>
      </c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</row>
    <row r="147" spans="1:45" ht="44" customHeight="1">
      <c r="A147" s="25" t="s">
        <v>22</v>
      </c>
      <c r="B147" s="26" t="s">
        <v>117</v>
      </c>
      <c r="C147" s="25" t="s">
        <v>118</v>
      </c>
      <c r="D147" s="25" t="s">
        <v>109</v>
      </c>
      <c r="E147" s="26" t="s">
        <v>106</v>
      </c>
      <c r="F147" s="26">
        <v>4956</v>
      </c>
      <c r="G147" s="26">
        <v>8042</v>
      </c>
      <c r="H147" s="26">
        <v>0</v>
      </c>
      <c r="I147" s="26">
        <v>12998</v>
      </c>
      <c r="J147" s="26"/>
      <c r="K147" s="26"/>
      <c r="L147" s="26"/>
      <c r="M147" s="26"/>
      <c r="N147" s="27"/>
      <c r="O147" s="27"/>
      <c r="P147" s="27"/>
      <c r="Q147" s="25" t="s">
        <v>119</v>
      </c>
      <c r="R147" s="25" t="s">
        <v>120</v>
      </c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</row>
    <row r="148" spans="1:45" ht="44" customHeight="1">
      <c r="A148" s="22" t="s">
        <v>22</v>
      </c>
      <c r="B148" s="23" t="s">
        <v>117</v>
      </c>
      <c r="C148" s="22" t="s">
        <v>118</v>
      </c>
      <c r="D148" s="22" t="s">
        <v>110</v>
      </c>
      <c r="E148" s="23" t="s">
        <v>106</v>
      </c>
      <c r="F148" s="23">
        <v>1506</v>
      </c>
      <c r="G148" s="23">
        <v>243</v>
      </c>
      <c r="H148" s="23">
        <v>0</v>
      </c>
      <c r="I148" s="23">
        <v>1749</v>
      </c>
      <c r="J148" s="23"/>
      <c r="K148" s="23"/>
      <c r="L148" s="23"/>
      <c r="M148" s="23"/>
      <c r="N148" s="24"/>
      <c r="O148" s="24"/>
      <c r="P148" s="24"/>
      <c r="Q148" s="22" t="s">
        <v>119</v>
      </c>
      <c r="R148" s="22" t="s">
        <v>120</v>
      </c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</row>
    <row r="149" spans="1:45" ht="44" customHeight="1">
      <c r="A149" s="25" t="s">
        <v>22</v>
      </c>
      <c r="B149" s="26" t="s">
        <v>117</v>
      </c>
      <c r="C149" s="25" t="s">
        <v>118</v>
      </c>
      <c r="D149" s="25" t="s">
        <v>110</v>
      </c>
      <c r="E149" s="26" t="s">
        <v>106</v>
      </c>
      <c r="F149" s="26">
        <v>2027</v>
      </c>
      <c r="G149" s="26">
        <v>1160</v>
      </c>
      <c r="H149" s="26">
        <v>0</v>
      </c>
      <c r="I149" s="26">
        <v>3187</v>
      </c>
      <c r="J149" s="26"/>
      <c r="K149" s="26"/>
      <c r="L149" s="26"/>
      <c r="M149" s="26"/>
      <c r="N149" s="27"/>
      <c r="O149" s="27"/>
      <c r="P149" s="27"/>
      <c r="Q149" s="25" t="s">
        <v>119</v>
      </c>
      <c r="R149" s="25" t="s">
        <v>120</v>
      </c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</row>
    <row r="150" spans="1:45" ht="44" customHeight="1">
      <c r="A150" s="22" t="s">
        <v>22</v>
      </c>
      <c r="B150" s="23" t="s">
        <v>117</v>
      </c>
      <c r="C150" s="22" t="s">
        <v>118</v>
      </c>
      <c r="D150" s="22" t="s">
        <v>110</v>
      </c>
      <c r="E150" s="23" t="s">
        <v>106</v>
      </c>
      <c r="F150" s="23">
        <v>2712</v>
      </c>
      <c r="G150" s="23">
        <v>2098</v>
      </c>
      <c r="H150" s="23">
        <v>0</v>
      </c>
      <c r="I150" s="23">
        <v>4810</v>
      </c>
      <c r="J150" s="23"/>
      <c r="K150" s="23"/>
      <c r="L150" s="23"/>
      <c r="M150" s="23"/>
      <c r="N150" s="24"/>
      <c r="O150" s="24"/>
      <c r="P150" s="24"/>
      <c r="Q150" s="22" t="s">
        <v>119</v>
      </c>
      <c r="R150" s="22" t="s">
        <v>120</v>
      </c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</row>
    <row r="151" spans="1:45" ht="44" customHeight="1">
      <c r="A151" s="25" t="s">
        <v>22</v>
      </c>
      <c r="B151" s="26" t="s">
        <v>117</v>
      </c>
      <c r="C151" s="25" t="s">
        <v>118</v>
      </c>
      <c r="D151" s="25" t="s">
        <v>110</v>
      </c>
      <c r="E151" s="26" t="s">
        <v>106</v>
      </c>
      <c r="F151" s="26">
        <v>2640</v>
      </c>
      <c r="G151" s="26">
        <v>2335</v>
      </c>
      <c r="H151" s="26">
        <v>0</v>
      </c>
      <c r="I151" s="26">
        <v>4975</v>
      </c>
      <c r="J151" s="26"/>
      <c r="K151" s="26"/>
      <c r="L151" s="26"/>
      <c r="M151" s="26"/>
      <c r="N151" s="27"/>
      <c r="O151" s="27"/>
      <c r="P151" s="27"/>
      <c r="Q151" s="25" t="s">
        <v>119</v>
      </c>
      <c r="R151" s="25" t="s">
        <v>120</v>
      </c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</row>
    <row r="152" spans="1:45" ht="44" customHeight="1">
      <c r="A152" s="22" t="s">
        <v>22</v>
      </c>
      <c r="B152" s="23" t="s">
        <v>117</v>
      </c>
      <c r="C152" s="22" t="s">
        <v>118</v>
      </c>
      <c r="D152" s="22" t="s">
        <v>110</v>
      </c>
      <c r="E152" s="23" t="s">
        <v>106</v>
      </c>
      <c r="F152" s="23">
        <v>2451</v>
      </c>
      <c r="G152" s="23">
        <v>1929</v>
      </c>
      <c r="H152" s="23">
        <v>0</v>
      </c>
      <c r="I152" s="23">
        <v>4380</v>
      </c>
      <c r="J152" s="23"/>
      <c r="K152" s="23"/>
      <c r="L152" s="23"/>
      <c r="M152" s="23"/>
      <c r="N152" s="24"/>
      <c r="O152" s="24"/>
      <c r="P152" s="24"/>
      <c r="Q152" s="22" t="s">
        <v>119</v>
      </c>
      <c r="R152" s="22" t="s">
        <v>120</v>
      </c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</row>
    <row r="153" spans="1:45" ht="44" customHeight="1">
      <c r="A153" s="25" t="s">
        <v>22</v>
      </c>
      <c r="B153" s="26" t="s">
        <v>117</v>
      </c>
      <c r="C153" s="25" t="s">
        <v>118</v>
      </c>
      <c r="D153" s="25" t="s">
        <v>110</v>
      </c>
      <c r="E153" s="26" t="s">
        <v>106</v>
      </c>
      <c r="F153" s="26">
        <v>4949</v>
      </c>
      <c r="G153" s="26">
        <v>3334</v>
      </c>
      <c r="H153" s="26">
        <v>0</v>
      </c>
      <c r="I153" s="26">
        <v>8283</v>
      </c>
      <c r="J153" s="26"/>
      <c r="K153" s="26"/>
      <c r="L153" s="26"/>
      <c r="M153" s="26"/>
      <c r="N153" s="27"/>
      <c r="O153" s="27"/>
      <c r="P153" s="27"/>
      <c r="Q153" s="25" t="s">
        <v>119</v>
      </c>
      <c r="R153" s="25" t="s">
        <v>120</v>
      </c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</row>
    <row r="154" spans="1:45" ht="44" customHeight="1">
      <c r="A154" s="22" t="s">
        <v>22</v>
      </c>
      <c r="B154" s="23" t="s">
        <v>117</v>
      </c>
      <c r="C154" s="22" t="s">
        <v>118</v>
      </c>
      <c r="D154" s="22" t="s">
        <v>110</v>
      </c>
      <c r="E154" s="23" t="s">
        <v>106</v>
      </c>
      <c r="F154" s="23">
        <v>5659</v>
      </c>
      <c r="G154" s="23">
        <v>1968</v>
      </c>
      <c r="H154" s="23">
        <v>0</v>
      </c>
      <c r="I154" s="23">
        <v>7627</v>
      </c>
      <c r="J154" s="23"/>
      <c r="K154" s="23"/>
      <c r="L154" s="23"/>
      <c r="M154" s="23"/>
      <c r="N154" s="24"/>
      <c r="O154" s="24"/>
      <c r="P154" s="24"/>
      <c r="Q154" s="22" t="s">
        <v>119</v>
      </c>
      <c r="R154" s="22" t="s">
        <v>120</v>
      </c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</row>
    <row r="155" spans="1:45" ht="44" customHeight="1">
      <c r="A155" s="25" t="s">
        <v>22</v>
      </c>
      <c r="B155" s="26" t="s">
        <v>117</v>
      </c>
      <c r="C155" s="25" t="s">
        <v>118</v>
      </c>
      <c r="D155" s="25" t="s">
        <v>110</v>
      </c>
      <c r="E155" s="26" t="s">
        <v>106</v>
      </c>
      <c r="F155" s="26">
        <v>1524</v>
      </c>
      <c r="G155" s="26">
        <v>2309</v>
      </c>
      <c r="H155" s="26">
        <v>0</v>
      </c>
      <c r="I155" s="26">
        <v>3833</v>
      </c>
      <c r="J155" s="26"/>
      <c r="K155" s="26"/>
      <c r="L155" s="26"/>
      <c r="M155" s="26"/>
      <c r="N155" s="27"/>
      <c r="O155" s="27"/>
      <c r="P155" s="27"/>
      <c r="Q155" s="25" t="s">
        <v>119</v>
      </c>
      <c r="R155" s="25" t="s">
        <v>120</v>
      </c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</row>
    <row r="156" spans="1:45" ht="44" customHeight="1">
      <c r="A156" s="22" t="s">
        <v>22</v>
      </c>
      <c r="B156" s="23" t="s">
        <v>117</v>
      </c>
      <c r="C156" s="22" t="s">
        <v>118</v>
      </c>
      <c r="D156" s="22" t="s">
        <v>110</v>
      </c>
      <c r="E156" s="23" t="s">
        <v>106</v>
      </c>
      <c r="F156" s="23">
        <v>1478</v>
      </c>
      <c r="G156" s="23">
        <v>2098</v>
      </c>
      <c r="H156" s="23">
        <v>0</v>
      </c>
      <c r="I156" s="23">
        <v>3576</v>
      </c>
      <c r="J156" s="23"/>
      <c r="K156" s="23"/>
      <c r="L156" s="23"/>
      <c r="M156" s="23"/>
      <c r="N156" s="24"/>
      <c r="O156" s="24"/>
      <c r="P156" s="24"/>
      <c r="Q156" s="22" t="s">
        <v>119</v>
      </c>
      <c r="R156" s="22" t="s">
        <v>120</v>
      </c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</row>
    <row r="157" spans="1:45" ht="44" customHeight="1">
      <c r="A157" s="25" t="s">
        <v>22</v>
      </c>
      <c r="B157" s="26" t="s">
        <v>117</v>
      </c>
      <c r="C157" s="25" t="s">
        <v>118</v>
      </c>
      <c r="D157" s="25" t="s">
        <v>110</v>
      </c>
      <c r="E157" s="26" t="s">
        <v>106</v>
      </c>
      <c r="F157" s="26">
        <v>2409</v>
      </c>
      <c r="G157" s="26">
        <v>1767</v>
      </c>
      <c r="H157" s="26">
        <v>0</v>
      </c>
      <c r="I157" s="26">
        <v>4176</v>
      </c>
      <c r="J157" s="26"/>
      <c r="K157" s="26"/>
      <c r="L157" s="26"/>
      <c r="M157" s="26"/>
      <c r="N157" s="27"/>
      <c r="O157" s="27"/>
      <c r="P157" s="27"/>
      <c r="Q157" s="25" t="s">
        <v>119</v>
      </c>
      <c r="R157" s="25" t="s">
        <v>120</v>
      </c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</row>
    <row r="158" spans="1:45" ht="44" customHeight="1">
      <c r="A158" s="22" t="s">
        <v>22</v>
      </c>
      <c r="B158" s="23" t="s">
        <v>117</v>
      </c>
      <c r="C158" s="22" t="s">
        <v>118</v>
      </c>
      <c r="D158" s="22" t="s">
        <v>110</v>
      </c>
      <c r="E158" s="23" t="s">
        <v>106</v>
      </c>
      <c r="F158" s="23">
        <v>8665</v>
      </c>
      <c r="G158" s="23">
        <v>5184</v>
      </c>
      <c r="H158" s="23">
        <v>0</v>
      </c>
      <c r="I158" s="23">
        <v>13849</v>
      </c>
      <c r="J158" s="23"/>
      <c r="K158" s="23"/>
      <c r="L158" s="23"/>
      <c r="M158" s="23"/>
      <c r="N158" s="24"/>
      <c r="O158" s="24"/>
      <c r="P158" s="24"/>
      <c r="Q158" s="22" t="s">
        <v>119</v>
      </c>
      <c r="R158" s="22" t="s">
        <v>120</v>
      </c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</row>
    <row r="159" spans="1:45" ht="44" customHeight="1">
      <c r="A159" s="25" t="s">
        <v>22</v>
      </c>
      <c r="B159" s="26" t="s">
        <v>117</v>
      </c>
      <c r="C159" s="25" t="s">
        <v>118</v>
      </c>
      <c r="D159" s="25" t="s">
        <v>110</v>
      </c>
      <c r="E159" s="26" t="s">
        <v>106</v>
      </c>
      <c r="F159" s="26">
        <v>1177</v>
      </c>
      <c r="G159" s="26">
        <v>395</v>
      </c>
      <c r="H159" s="26">
        <v>0</v>
      </c>
      <c r="I159" s="26">
        <v>1572</v>
      </c>
      <c r="J159" s="26"/>
      <c r="K159" s="26"/>
      <c r="L159" s="26"/>
      <c r="M159" s="26"/>
      <c r="N159" s="27"/>
      <c r="O159" s="27"/>
      <c r="P159" s="27"/>
      <c r="Q159" s="25" t="s">
        <v>119</v>
      </c>
      <c r="R159" s="25" t="s">
        <v>120</v>
      </c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</row>
    <row r="160" spans="1:45" ht="44" customHeight="1">
      <c r="A160" s="22" t="s">
        <v>22</v>
      </c>
      <c r="B160" s="23" t="s">
        <v>117</v>
      </c>
      <c r="C160" s="22" t="s">
        <v>118</v>
      </c>
      <c r="D160" s="22" t="s">
        <v>111</v>
      </c>
      <c r="E160" s="23" t="s">
        <v>106</v>
      </c>
      <c r="F160" s="23">
        <v>1047</v>
      </c>
      <c r="G160" s="23">
        <v>159</v>
      </c>
      <c r="H160" s="23">
        <v>0</v>
      </c>
      <c r="I160" s="23">
        <v>1206</v>
      </c>
      <c r="J160" s="23"/>
      <c r="K160" s="23"/>
      <c r="L160" s="23"/>
      <c r="M160" s="23"/>
      <c r="N160" s="24"/>
      <c r="O160" s="24"/>
      <c r="P160" s="24"/>
      <c r="Q160" s="22" t="s">
        <v>119</v>
      </c>
      <c r="R160" s="22" t="s">
        <v>120</v>
      </c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</row>
    <row r="161" spans="1:45" ht="44" customHeight="1">
      <c r="A161" s="25" t="s">
        <v>22</v>
      </c>
      <c r="B161" s="26" t="s">
        <v>117</v>
      </c>
      <c r="C161" s="25" t="s">
        <v>118</v>
      </c>
      <c r="D161" s="25" t="s">
        <v>111</v>
      </c>
      <c r="E161" s="26" t="s">
        <v>106</v>
      </c>
      <c r="F161" s="26">
        <v>4490</v>
      </c>
      <c r="G161" s="26">
        <v>300</v>
      </c>
      <c r="H161" s="26">
        <v>0</v>
      </c>
      <c r="I161" s="26">
        <v>4790</v>
      </c>
      <c r="J161" s="26"/>
      <c r="K161" s="26"/>
      <c r="L161" s="26"/>
      <c r="M161" s="26"/>
      <c r="N161" s="27"/>
      <c r="O161" s="27"/>
      <c r="P161" s="27"/>
      <c r="Q161" s="25" t="s">
        <v>119</v>
      </c>
      <c r="R161" s="25" t="s">
        <v>120</v>
      </c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</row>
    <row r="162" spans="1:45" ht="44" customHeight="1">
      <c r="A162" s="22" t="s">
        <v>22</v>
      </c>
      <c r="B162" s="23" t="s">
        <v>117</v>
      </c>
      <c r="C162" s="22" t="s">
        <v>118</v>
      </c>
      <c r="D162" s="22" t="s">
        <v>111</v>
      </c>
      <c r="E162" s="23" t="s">
        <v>106</v>
      </c>
      <c r="F162" s="23">
        <v>5200</v>
      </c>
      <c r="G162" s="23">
        <v>741</v>
      </c>
      <c r="H162" s="23">
        <v>0</v>
      </c>
      <c r="I162" s="23">
        <v>5941</v>
      </c>
      <c r="J162" s="23"/>
      <c r="K162" s="23"/>
      <c r="L162" s="23"/>
      <c r="M162" s="23"/>
      <c r="N162" s="24"/>
      <c r="O162" s="24"/>
      <c r="P162" s="24"/>
      <c r="Q162" s="22" t="s">
        <v>119</v>
      </c>
      <c r="R162" s="22" t="s">
        <v>120</v>
      </c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</row>
    <row r="163" spans="1:45" ht="44" customHeight="1">
      <c r="A163" s="25" t="s">
        <v>22</v>
      </c>
      <c r="B163" s="26" t="s">
        <v>117</v>
      </c>
      <c r="C163" s="25" t="s">
        <v>118</v>
      </c>
      <c r="D163" s="25" t="s">
        <v>111</v>
      </c>
      <c r="E163" s="26" t="s">
        <v>106</v>
      </c>
      <c r="F163" s="26">
        <v>8206</v>
      </c>
      <c r="G163" s="26">
        <v>990</v>
      </c>
      <c r="H163" s="26">
        <v>0</v>
      </c>
      <c r="I163" s="26">
        <v>9196</v>
      </c>
      <c r="J163" s="26"/>
      <c r="K163" s="26"/>
      <c r="L163" s="26"/>
      <c r="M163" s="26"/>
      <c r="N163" s="27"/>
      <c r="O163" s="27"/>
      <c r="P163" s="27"/>
      <c r="Q163" s="25" t="s">
        <v>119</v>
      </c>
      <c r="R163" s="25" t="s">
        <v>120</v>
      </c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</row>
    <row r="164" spans="1:45" ht="44" customHeight="1">
      <c r="A164" s="22" t="s">
        <v>22</v>
      </c>
      <c r="B164" s="23" t="s">
        <v>117</v>
      </c>
      <c r="C164" s="22" t="s">
        <v>118</v>
      </c>
      <c r="D164" s="22" t="s">
        <v>111</v>
      </c>
      <c r="E164" s="23" t="s">
        <v>106</v>
      </c>
      <c r="F164" s="23">
        <v>1568</v>
      </c>
      <c r="G164" s="23">
        <v>167</v>
      </c>
      <c r="H164" s="23">
        <v>0</v>
      </c>
      <c r="I164" s="23">
        <v>1735</v>
      </c>
      <c r="J164" s="23"/>
      <c r="K164" s="23"/>
      <c r="L164" s="23"/>
      <c r="M164" s="23"/>
      <c r="N164" s="24"/>
      <c r="O164" s="24"/>
      <c r="P164" s="24"/>
      <c r="Q164" s="22" t="s">
        <v>119</v>
      </c>
      <c r="R164" s="22" t="s">
        <v>120</v>
      </c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</row>
    <row r="165" spans="1:45" ht="44" customHeight="1">
      <c r="A165" s="25" t="s">
        <v>22</v>
      </c>
      <c r="B165" s="26" t="s">
        <v>117</v>
      </c>
      <c r="C165" s="25" t="s">
        <v>118</v>
      </c>
      <c r="D165" s="25" t="s">
        <v>111</v>
      </c>
      <c r="E165" s="26" t="s">
        <v>106</v>
      </c>
      <c r="F165" s="26">
        <v>718</v>
      </c>
      <c r="G165" s="26">
        <v>117</v>
      </c>
      <c r="H165" s="26">
        <v>0</v>
      </c>
      <c r="I165" s="26">
        <v>835</v>
      </c>
      <c r="J165" s="26"/>
      <c r="K165" s="26"/>
      <c r="L165" s="26"/>
      <c r="M165" s="26"/>
      <c r="N165" s="27"/>
      <c r="O165" s="27"/>
      <c r="P165" s="27"/>
      <c r="Q165" s="25" t="s">
        <v>119</v>
      </c>
      <c r="R165" s="25" t="s">
        <v>120</v>
      </c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</row>
    <row r="166" spans="1:45" ht="44" customHeight="1">
      <c r="A166" s="22" t="s">
        <v>22</v>
      </c>
      <c r="B166" s="23" t="s">
        <v>117</v>
      </c>
      <c r="C166" s="22" t="s">
        <v>118</v>
      </c>
      <c r="D166" s="22" t="s">
        <v>111</v>
      </c>
      <c r="E166" s="23" t="s">
        <v>106</v>
      </c>
      <c r="F166" s="23">
        <v>1019</v>
      </c>
      <c r="G166" s="23">
        <v>1981</v>
      </c>
      <c r="H166" s="23">
        <v>0</v>
      </c>
      <c r="I166" s="23">
        <v>3000</v>
      </c>
      <c r="J166" s="23"/>
      <c r="K166" s="23"/>
      <c r="L166" s="23"/>
      <c r="M166" s="23"/>
      <c r="N166" s="24"/>
      <c r="O166" s="24"/>
      <c r="P166" s="24"/>
      <c r="Q166" s="22" t="s">
        <v>119</v>
      </c>
      <c r="R166" s="22" t="s">
        <v>120</v>
      </c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</row>
    <row r="167" spans="1:45" ht="44" customHeight="1">
      <c r="A167" s="25" t="s">
        <v>22</v>
      </c>
      <c r="B167" s="26" t="s">
        <v>117</v>
      </c>
      <c r="C167" s="25" t="s">
        <v>118</v>
      </c>
      <c r="D167" s="25" t="s">
        <v>111</v>
      </c>
      <c r="E167" s="26" t="s">
        <v>106</v>
      </c>
      <c r="F167" s="26">
        <v>1065</v>
      </c>
      <c r="G167" s="26">
        <v>121</v>
      </c>
      <c r="H167" s="26">
        <v>0</v>
      </c>
      <c r="I167" s="26">
        <v>1186</v>
      </c>
      <c r="J167" s="26"/>
      <c r="K167" s="26"/>
      <c r="L167" s="26"/>
      <c r="M167" s="26"/>
      <c r="N167" s="27"/>
      <c r="O167" s="27"/>
      <c r="P167" s="27"/>
      <c r="Q167" s="25" t="s">
        <v>119</v>
      </c>
      <c r="R167" s="25" t="s">
        <v>120</v>
      </c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</row>
    <row r="168" spans="1:45" ht="44" customHeight="1">
      <c r="A168" s="22" t="s">
        <v>22</v>
      </c>
      <c r="B168" s="23" t="s">
        <v>117</v>
      </c>
      <c r="C168" s="22" t="s">
        <v>118</v>
      </c>
      <c r="D168" s="22" t="s">
        <v>111</v>
      </c>
      <c r="E168" s="23" t="s">
        <v>106</v>
      </c>
      <c r="F168" s="23">
        <v>2253</v>
      </c>
      <c r="G168" s="23">
        <v>108</v>
      </c>
      <c r="H168" s="23">
        <v>0</v>
      </c>
      <c r="I168" s="23">
        <v>2361</v>
      </c>
      <c r="J168" s="23"/>
      <c r="K168" s="23"/>
      <c r="L168" s="23"/>
      <c r="M168" s="23"/>
      <c r="N168" s="24"/>
      <c r="O168" s="24"/>
      <c r="P168" s="24"/>
      <c r="Q168" s="22" t="s">
        <v>119</v>
      </c>
      <c r="R168" s="22" t="s">
        <v>120</v>
      </c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</row>
    <row r="169" spans="1:45" ht="44" customHeight="1">
      <c r="A169" s="25" t="s">
        <v>22</v>
      </c>
      <c r="B169" s="26" t="s">
        <v>117</v>
      </c>
      <c r="C169" s="25" t="s">
        <v>118</v>
      </c>
      <c r="D169" s="25" t="s">
        <v>111</v>
      </c>
      <c r="E169" s="26" t="s">
        <v>106</v>
      </c>
      <c r="F169" s="26">
        <v>2181</v>
      </c>
      <c r="G169" s="26">
        <v>173</v>
      </c>
      <c r="H169" s="26">
        <v>0</v>
      </c>
      <c r="I169" s="26">
        <v>2354</v>
      </c>
      <c r="J169" s="26"/>
      <c r="K169" s="26"/>
      <c r="L169" s="26"/>
      <c r="M169" s="26"/>
      <c r="N169" s="27"/>
      <c r="O169" s="27"/>
      <c r="P169" s="27"/>
      <c r="Q169" s="25" t="s">
        <v>119</v>
      </c>
      <c r="R169" s="25" t="s">
        <v>120</v>
      </c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</row>
    <row r="170" spans="1:45" ht="44" customHeight="1">
      <c r="A170" s="22" t="s">
        <v>22</v>
      </c>
      <c r="B170" s="23" t="s">
        <v>117</v>
      </c>
      <c r="C170" s="22" t="s">
        <v>118</v>
      </c>
      <c r="D170" s="22" t="s">
        <v>111</v>
      </c>
      <c r="E170" s="23" t="s">
        <v>106</v>
      </c>
      <c r="F170" s="23">
        <v>1950</v>
      </c>
      <c r="G170" s="23">
        <v>188</v>
      </c>
      <c r="H170" s="23">
        <v>0</v>
      </c>
      <c r="I170" s="23">
        <v>2138</v>
      </c>
      <c r="J170" s="23"/>
      <c r="K170" s="23"/>
      <c r="L170" s="23"/>
      <c r="M170" s="23"/>
      <c r="N170" s="24"/>
      <c r="O170" s="24"/>
      <c r="P170" s="24"/>
      <c r="Q170" s="22" t="s">
        <v>119</v>
      </c>
      <c r="R170" s="22" t="s">
        <v>120</v>
      </c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</row>
    <row r="171" spans="1:45" ht="44" customHeight="1">
      <c r="A171" s="25" t="s">
        <v>22</v>
      </c>
      <c r="B171" s="26" t="s">
        <v>117</v>
      </c>
      <c r="C171" s="25" t="s">
        <v>118</v>
      </c>
      <c r="D171" s="25" t="s">
        <v>111</v>
      </c>
      <c r="E171" s="26" t="s">
        <v>106</v>
      </c>
      <c r="F171" s="26">
        <v>1992</v>
      </c>
      <c r="G171" s="26">
        <v>1934</v>
      </c>
      <c r="H171" s="26">
        <v>0</v>
      </c>
      <c r="I171" s="26">
        <v>3926</v>
      </c>
      <c r="J171" s="26"/>
      <c r="K171" s="26"/>
      <c r="L171" s="26"/>
      <c r="M171" s="26"/>
      <c r="N171" s="27"/>
      <c r="O171" s="27"/>
      <c r="P171" s="27"/>
      <c r="Q171" s="25" t="s">
        <v>119</v>
      </c>
      <c r="R171" s="25" t="s">
        <v>120</v>
      </c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</row>
    <row r="172" spans="1:45" ht="44" customHeight="1">
      <c r="A172" s="22" t="s">
        <v>22</v>
      </c>
      <c r="B172" s="23" t="s">
        <v>117</v>
      </c>
      <c r="C172" s="22" t="s">
        <v>118</v>
      </c>
      <c r="D172" s="22" t="s">
        <v>112</v>
      </c>
      <c r="E172" s="23" t="s">
        <v>106</v>
      </c>
      <c r="F172" s="23">
        <v>990</v>
      </c>
      <c r="G172" s="23">
        <v>838</v>
      </c>
      <c r="H172" s="23">
        <v>0</v>
      </c>
      <c r="I172" s="23">
        <v>1828</v>
      </c>
      <c r="J172" s="23"/>
      <c r="K172" s="23"/>
      <c r="L172" s="23"/>
      <c r="M172" s="23"/>
      <c r="N172" s="24"/>
      <c r="O172" s="24"/>
      <c r="P172" s="24"/>
      <c r="Q172" s="22" t="s">
        <v>119</v>
      </c>
      <c r="R172" s="22" t="s">
        <v>120</v>
      </c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</row>
    <row r="173" spans="1:45" ht="44" customHeight="1">
      <c r="A173" s="25" t="s">
        <v>22</v>
      </c>
      <c r="B173" s="26" t="s">
        <v>117</v>
      </c>
      <c r="C173" s="25" t="s">
        <v>118</v>
      </c>
      <c r="D173" s="25" t="s">
        <v>112</v>
      </c>
      <c r="E173" s="26" t="s">
        <v>106</v>
      </c>
      <c r="F173" s="26">
        <v>1542</v>
      </c>
      <c r="G173" s="26">
        <v>5306</v>
      </c>
      <c r="H173" s="26">
        <v>0</v>
      </c>
      <c r="I173" s="26">
        <v>6848</v>
      </c>
      <c r="J173" s="26"/>
      <c r="K173" s="26"/>
      <c r="L173" s="26"/>
      <c r="M173" s="26"/>
      <c r="N173" s="27"/>
      <c r="O173" s="27"/>
      <c r="P173" s="27"/>
      <c r="Q173" s="25" t="s">
        <v>119</v>
      </c>
      <c r="R173" s="25" t="s">
        <v>120</v>
      </c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</row>
    <row r="174" spans="1:45" ht="44" customHeight="1">
      <c r="A174" s="22" t="s">
        <v>22</v>
      </c>
      <c r="B174" s="23" t="s">
        <v>117</v>
      </c>
      <c r="C174" s="22" t="s">
        <v>118</v>
      </c>
      <c r="D174" s="22" t="s">
        <v>112</v>
      </c>
      <c r="E174" s="23" t="s">
        <v>106</v>
      </c>
      <c r="F174" s="23">
        <v>3398</v>
      </c>
      <c r="G174" s="23">
        <v>3252</v>
      </c>
      <c r="H174" s="23">
        <v>0</v>
      </c>
      <c r="I174" s="23">
        <v>6650</v>
      </c>
      <c r="J174" s="23"/>
      <c r="K174" s="23"/>
      <c r="L174" s="23"/>
      <c r="M174" s="23"/>
      <c r="N174" s="24"/>
      <c r="O174" s="24"/>
      <c r="P174" s="24"/>
      <c r="Q174" s="22" t="s">
        <v>119</v>
      </c>
      <c r="R174" s="22" t="s">
        <v>120</v>
      </c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</row>
    <row r="175" spans="1:45" ht="44" customHeight="1">
      <c r="A175" s="25" t="s">
        <v>23</v>
      </c>
      <c r="B175" s="26" t="s">
        <v>117</v>
      </c>
      <c r="C175" s="25" t="s">
        <v>118</v>
      </c>
      <c r="D175" s="25" t="s">
        <v>105</v>
      </c>
      <c r="E175" s="26" t="s">
        <v>106</v>
      </c>
      <c r="F175" s="26">
        <v>6545</v>
      </c>
      <c r="G175" s="26">
        <v>5110</v>
      </c>
      <c r="H175" s="26">
        <v>0</v>
      </c>
      <c r="I175" s="26">
        <v>11655</v>
      </c>
      <c r="J175" s="26"/>
      <c r="K175" s="26"/>
      <c r="L175" s="26"/>
      <c r="M175" s="26"/>
      <c r="N175" s="27"/>
      <c r="O175" s="27"/>
      <c r="P175" s="27"/>
      <c r="Q175" s="25" t="s">
        <v>119</v>
      </c>
      <c r="R175" s="25" t="s">
        <v>120</v>
      </c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</row>
    <row r="176" spans="1:45" ht="44" customHeight="1">
      <c r="A176" s="22" t="s">
        <v>23</v>
      </c>
      <c r="B176" s="23" t="s">
        <v>117</v>
      </c>
      <c r="C176" s="22" t="s">
        <v>118</v>
      </c>
      <c r="D176" s="22" t="s">
        <v>109</v>
      </c>
      <c r="E176" s="23" t="s">
        <v>106</v>
      </c>
      <c r="F176" s="23">
        <v>1513</v>
      </c>
      <c r="G176" s="23">
        <v>260</v>
      </c>
      <c r="H176" s="23">
        <v>0</v>
      </c>
      <c r="I176" s="23">
        <v>1773</v>
      </c>
      <c r="J176" s="23"/>
      <c r="K176" s="23"/>
      <c r="L176" s="23"/>
      <c r="M176" s="23"/>
      <c r="N176" s="24"/>
      <c r="O176" s="24"/>
      <c r="P176" s="24"/>
      <c r="Q176" s="22" t="s">
        <v>119</v>
      </c>
      <c r="R176" s="22" t="s">
        <v>120</v>
      </c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</row>
    <row r="177" spans="1:45" ht="44" customHeight="1">
      <c r="A177" s="25" t="s">
        <v>23</v>
      </c>
      <c r="B177" s="26" t="s">
        <v>117</v>
      </c>
      <c r="C177" s="25" t="s">
        <v>118</v>
      </c>
      <c r="D177" s="25" t="s">
        <v>109</v>
      </c>
      <c r="E177" s="26" t="s">
        <v>106</v>
      </c>
      <c r="F177" s="26">
        <v>1184</v>
      </c>
      <c r="G177" s="26">
        <v>311</v>
      </c>
      <c r="H177" s="26">
        <v>0</v>
      </c>
      <c r="I177" s="26">
        <v>1495</v>
      </c>
      <c r="J177" s="26"/>
      <c r="K177" s="26"/>
      <c r="L177" s="26"/>
      <c r="M177" s="26"/>
      <c r="N177" s="27"/>
      <c r="O177" s="27"/>
      <c r="P177" s="27"/>
      <c r="Q177" s="25" t="s">
        <v>119</v>
      </c>
      <c r="R177" s="25" t="s">
        <v>120</v>
      </c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</row>
    <row r="178" spans="1:45" ht="44" customHeight="1">
      <c r="A178" s="22" t="s">
        <v>23</v>
      </c>
      <c r="B178" s="23" t="s">
        <v>117</v>
      </c>
      <c r="C178" s="22" t="s">
        <v>118</v>
      </c>
      <c r="D178" s="22" t="s">
        <v>109</v>
      </c>
      <c r="E178" s="23" t="s">
        <v>106</v>
      </c>
      <c r="F178" s="23">
        <v>1485</v>
      </c>
      <c r="G178" s="23">
        <v>378</v>
      </c>
      <c r="H178" s="23">
        <v>0</v>
      </c>
      <c r="I178" s="23">
        <v>1863</v>
      </c>
      <c r="J178" s="23"/>
      <c r="K178" s="23"/>
      <c r="L178" s="23"/>
      <c r="M178" s="23"/>
      <c r="N178" s="24"/>
      <c r="O178" s="24"/>
      <c r="P178" s="24"/>
      <c r="Q178" s="22" t="s">
        <v>119</v>
      </c>
      <c r="R178" s="22" t="s">
        <v>120</v>
      </c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</row>
    <row r="179" spans="1:45" ht="44" customHeight="1">
      <c r="A179" s="25" t="s">
        <v>23</v>
      </c>
      <c r="B179" s="26" t="s">
        <v>117</v>
      </c>
      <c r="C179" s="25" t="s">
        <v>118</v>
      </c>
      <c r="D179" s="25" t="s">
        <v>109</v>
      </c>
      <c r="E179" s="26" t="s">
        <v>106</v>
      </c>
      <c r="F179" s="26">
        <v>5666</v>
      </c>
      <c r="G179" s="26">
        <v>735</v>
      </c>
      <c r="H179" s="26">
        <v>0</v>
      </c>
      <c r="I179" s="26">
        <v>6401</v>
      </c>
      <c r="J179" s="26"/>
      <c r="K179" s="26"/>
      <c r="L179" s="26"/>
      <c r="M179" s="26"/>
      <c r="N179" s="27"/>
      <c r="O179" s="27"/>
      <c r="P179" s="27"/>
      <c r="Q179" s="25" t="s">
        <v>119</v>
      </c>
      <c r="R179" s="25" t="s">
        <v>120</v>
      </c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</row>
    <row r="180" spans="1:45" ht="44" customHeight="1">
      <c r="A180" s="22" t="s">
        <v>23</v>
      </c>
      <c r="B180" s="23" t="s">
        <v>117</v>
      </c>
      <c r="C180" s="22" t="s">
        <v>118</v>
      </c>
      <c r="D180" s="22" t="s">
        <v>109</v>
      </c>
      <c r="E180" s="23" t="s">
        <v>106</v>
      </c>
      <c r="F180" s="23">
        <v>2647</v>
      </c>
      <c r="G180" s="23">
        <v>497</v>
      </c>
      <c r="H180" s="23">
        <v>0</v>
      </c>
      <c r="I180" s="23">
        <v>3144</v>
      </c>
      <c r="J180" s="23"/>
      <c r="K180" s="23"/>
      <c r="L180" s="23"/>
      <c r="M180" s="23"/>
      <c r="N180" s="24"/>
      <c r="O180" s="24"/>
      <c r="P180" s="24"/>
      <c r="Q180" s="22" t="s">
        <v>119</v>
      </c>
      <c r="R180" s="22" t="s">
        <v>120</v>
      </c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</row>
    <row r="181" spans="1:45" ht="44" customHeight="1">
      <c r="A181" s="25" t="s">
        <v>23</v>
      </c>
      <c r="B181" s="26" t="s">
        <v>117</v>
      </c>
      <c r="C181" s="25" t="s">
        <v>118</v>
      </c>
      <c r="D181" s="25" t="s">
        <v>109</v>
      </c>
      <c r="E181" s="26" t="s">
        <v>106</v>
      </c>
      <c r="F181" s="26">
        <v>2719</v>
      </c>
      <c r="G181" s="26">
        <v>1509</v>
      </c>
      <c r="H181" s="26">
        <v>0</v>
      </c>
      <c r="I181" s="26">
        <v>4228</v>
      </c>
      <c r="J181" s="26"/>
      <c r="K181" s="26"/>
      <c r="L181" s="26"/>
      <c r="M181" s="26"/>
      <c r="N181" s="27"/>
      <c r="O181" s="27"/>
      <c r="P181" s="27"/>
      <c r="Q181" s="25" t="s">
        <v>119</v>
      </c>
      <c r="R181" s="25" t="s">
        <v>120</v>
      </c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</row>
    <row r="182" spans="1:45" ht="44" customHeight="1">
      <c r="A182" s="22" t="s">
        <v>23</v>
      </c>
      <c r="B182" s="23" t="s">
        <v>117</v>
      </c>
      <c r="C182" s="22" t="s">
        <v>118</v>
      </c>
      <c r="D182" s="22" t="s">
        <v>109</v>
      </c>
      <c r="E182" s="23" t="s">
        <v>106</v>
      </c>
      <c r="F182" s="23">
        <v>2458</v>
      </c>
      <c r="G182" s="23">
        <v>729</v>
      </c>
      <c r="H182" s="23">
        <v>0</v>
      </c>
      <c r="I182" s="23">
        <v>3187</v>
      </c>
      <c r="J182" s="23"/>
      <c r="K182" s="23"/>
      <c r="L182" s="23"/>
      <c r="M182" s="23"/>
      <c r="N182" s="24"/>
      <c r="O182" s="24"/>
      <c r="P182" s="24"/>
      <c r="Q182" s="22" t="s">
        <v>119</v>
      </c>
      <c r="R182" s="22" t="s">
        <v>120</v>
      </c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</row>
    <row r="183" spans="1:45" ht="44" customHeight="1">
      <c r="A183" s="25" t="s">
        <v>23</v>
      </c>
      <c r="B183" s="26" t="s">
        <v>117</v>
      </c>
      <c r="C183" s="25" t="s">
        <v>118</v>
      </c>
      <c r="D183" s="25" t="s">
        <v>109</v>
      </c>
      <c r="E183" s="26" t="s">
        <v>106</v>
      </c>
      <c r="F183" s="26">
        <v>2416</v>
      </c>
      <c r="G183" s="26">
        <v>1673</v>
      </c>
      <c r="H183" s="26">
        <v>0</v>
      </c>
      <c r="I183" s="26">
        <v>4089</v>
      </c>
      <c r="J183" s="26"/>
      <c r="K183" s="26"/>
      <c r="L183" s="26"/>
      <c r="M183" s="26"/>
      <c r="N183" s="27"/>
      <c r="O183" s="27"/>
      <c r="P183" s="27"/>
      <c r="Q183" s="25" t="s">
        <v>119</v>
      </c>
      <c r="R183" s="25" t="s">
        <v>120</v>
      </c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</row>
    <row r="184" spans="1:45" ht="44" customHeight="1">
      <c r="A184" s="22" t="s">
        <v>23</v>
      </c>
      <c r="B184" s="23" t="s">
        <v>117</v>
      </c>
      <c r="C184" s="22" t="s">
        <v>118</v>
      </c>
      <c r="D184" s="22" t="s">
        <v>109</v>
      </c>
      <c r="E184" s="23" t="s">
        <v>106</v>
      </c>
      <c r="F184" s="23">
        <v>2034</v>
      </c>
      <c r="G184" s="23">
        <v>4129</v>
      </c>
      <c r="H184" s="23">
        <v>0</v>
      </c>
      <c r="I184" s="23">
        <v>6163</v>
      </c>
      <c r="J184" s="23"/>
      <c r="K184" s="23"/>
      <c r="L184" s="23"/>
      <c r="M184" s="23"/>
      <c r="N184" s="24"/>
      <c r="O184" s="24"/>
      <c r="P184" s="24"/>
      <c r="Q184" s="22" t="s">
        <v>119</v>
      </c>
      <c r="R184" s="22" t="s">
        <v>120</v>
      </c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</row>
    <row r="185" spans="1:45" ht="44" customHeight="1">
      <c r="A185" s="25" t="s">
        <v>23</v>
      </c>
      <c r="B185" s="26" t="s">
        <v>117</v>
      </c>
      <c r="C185" s="25" t="s">
        <v>118</v>
      </c>
      <c r="D185" s="25" t="s">
        <v>109</v>
      </c>
      <c r="E185" s="26" t="s">
        <v>106</v>
      </c>
      <c r="F185" s="26">
        <v>8672</v>
      </c>
      <c r="G185" s="26">
        <v>2890</v>
      </c>
      <c r="H185" s="26">
        <v>0</v>
      </c>
      <c r="I185" s="26">
        <v>11562</v>
      </c>
      <c r="J185" s="26"/>
      <c r="K185" s="26"/>
      <c r="L185" s="26"/>
      <c r="M185" s="26"/>
      <c r="N185" s="27"/>
      <c r="O185" s="27"/>
      <c r="P185" s="27"/>
      <c r="Q185" s="25" t="s">
        <v>119</v>
      </c>
      <c r="R185" s="25" t="s">
        <v>120</v>
      </c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</row>
    <row r="186" spans="1:45" ht="44" customHeight="1">
      <c r="A186" s="22" t="s">
        <v>23</v>
      </c>
      <c r="B186" s="23" t="s">
        <v>117</v>
      </c>
      <c r="C186" s="22" t="s">
        <v>118</v>
      </c>
      <c r="D186" s="22" t="s">
        <v>109</v>
      </c>
      <c r="E186" s="23" t="s">
        <v>106</v>
      </c>
      <c r="F186" s="23">
        <v>4956</v>
      </c>
      <c r="G186" s="23">
        <v>5217</v>
      </c>
      <c r="H186" s="23">
        <v>0</v>
      </c>
      <c r="I186" s="23">
        <v>10173</v>
      </c>
      <c r="J186" s="23"/>
      <c r="K186" s="23"/>
      <c r="L186" s="23"/>
      <c r="M186" s="23"/>
      <c r="N186" s="24"/>
      <c r="O186" s="24"/>
      <c r="P186" s="24"/>
      <c r="Q186" s="22" t="s">
        <v>119</v>
      </c>
      <c r="R186" s="22" t="s">
        <v>120</v>
      </c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</row>
    <row r="187" spans="1:45" ht="44" customHeight="1">
      <c r="A187" s="25" t="s">
        <v>23</v>
      </c>
      <c r="B187" s="26" t="s">
        <v>117</v>
      </c>
      <c r="C187" s="25" t="s">
        <v>118</v>
      </c>
      <c r="D187" s="25" t="s">
        <v>109</v>
      </c>
      <c r="E187" s="26" t="s">
        <v>106</v>
      </c>
      <c r="F187" s="26">
        <v>1531</v>
      </c>
      <c r="G187" s="26">
        <v>4674</v>
      </c>
      <c r="H187" s="26">
        <v>0</v>
      </c>
      <c r="I187" s="26">
        <v>6205</v>
      </c>
      <c r="J187" s="26"/>
      <c r="K187" s="26"/>
      <c r="L187" s="26"/>
      <c r="M187" s="26"/>
      <c r="N187" s="27"/>
      <c r="O187" s="27"/>
      <c r="P187" s="27"/>
      <c r="Q187" s="25" t="s">
        <v>119</v>
      </c>
      <c r="R187" s="25" t="s">
        <v>120</v>
      </c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</row>
    <row r="188" spans="1:45" ht="44" customHeight="1">
      <c r="A188" s="22" t="s">
        <v>23</v>
      </c>
      <c r="B188" s="23" t="s">
        <v>117</v>
      </c>
      <c r="C188" s="22" t="s">
        <v>118</v>
      </c>
      <c r="D188" s="22" t="s">
        <v>110</v>
      </c>
      <c r="E188" s="23" t="s">
        <v>106</v>
      </c>
      <c r="F188" s="23">
        <v>1177</v>
      </c>
      <c r="G188" s="23">
        <v>357</v>
      </c>
      <c r="H188" s="23">
        <v>0</v>
      </c>
      <c r="I188" s="23">
        <v>1534</v>
      </c>
      <c r="J188" s="23"/>
      <c r="K188" s="23"/>
      <c r="L188" s="23"/>
      <c r="M188" s="23"/>
      <c r="N188" s="24"/>
      <c r="O188" s="24"/>
      <c r="P188" s="24"/>
      <c r="Q188" s="22" t="s">
        <v>119</v>
      </c>
      <c r="R188" s="22" t="s">
        <v>120</v>
      </c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</row>
    <row r="189" spans="1:45" ht="44" customHeight="1">
      <c r="A189" s="25" t="s">
        <v>23</v>
      </c>
      <c r="B189" s="26" t="s">
        <v>117</v>
      </c>
      <c r="C189" s="25" t="s">
        <v>118</v>
      </c>
      <c r="D189" s="25" t="s">
        <v>110</v>
      </c>
      <c r="E189" s="26" t="s">
        <v>106</v>
      </c>
      <c r="F189" s="26">
        <v>2640</v>
      </c>
      <c r="G189" s="26">
        <v>1591</v>
      </c>
      <c r="H189" s="26">
        <v>0</v>
      </c>
      <c r="I189" s="26">
        <v>4231</v>
      </c>
      <c r="J189" s="26"/>
      <c r="K189" s="26"/>
      <c r="L189" s="26"/>
      <c r="M189" s="26"/>
      <c r="N189" s="27"/>
      <c r="O189" s="27"/>
      <c r="P189" s="27"/>
      <c r="Q189" s="25" t="s">
        <v>119</v>
      </c>
      <c r="R189" s="25" t="s">
        <v>120</v>
      </c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</row>
    <row r="190" spans="1:45" ht="44" customHeight="1">
      <c r="A190" s="22" t="s">
        <v>23</v>
      </c>
      <c r="B190" s="23" t="s">
        <v>117</v>
      </c>
      <c r="C190" s="22" t="s">
        <v>118</v>
      </c>
      <c r="D190" s="22" t="s">
        <v>110</v>
      </c>
      <c r="E190" s="23" t="s">
        <v>106</v>
      </c>
      <c r="F190" s="23">
        <v>5659</v>
      </c>
      <c r="G190" s="23">
        <v>2439</v>
      </c>
      <c r="H190" s="23">
        <v>0</v>
      </c>
      <c r="I190" s="23">
        <v>8098</v>
      </c>
      <c r="J190" s="23"/>
      <c r="K190" s="23"/>
      <c r="L190" s="23"/>
      <c r="M190" s="23"/>
      <c r="N190" s="24"/>
      <c r="O190" s="24"/>
      <c r="P190" s="24"/>
      <c r="Q190" s="22" t="s">
        <v>119</v>
      </c>
      <c r="R190" s="22" t="s">
        <v>120</v>
      </c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</row>
    <row r="191" spans="1:45" ht="44" customHeight="1">
      <c r="A191" s="25" t="s">
        <v>23</v>
      </c>
      <c r="B191" s="26" t="s">
        <v>117</v>
      </c>
      <c r="C191" s="25" t="s">
        <v>118</v>
      </c>
      <c r="D191" s="25" t="s">
        <v>110</v>
      </c>
      <c r="E191" s="26" t="s">
        <v>106</v>
      </c>
      <c r="F191" s="26">
        <v>1524</v>
      </c>
      <c r="G191" s="26">
        <v>1559</v>
      </c>
      <c r="H191" s="26">
        <v>0</v>
      </c>
      <c r="I191" s="26">
        <v>3083</v>
      </c>
      <c r="J191" s="26"/>
      <c r="K191" s="26"/>
      <c r="L191" s="26"/>
      <c r="M191" s="26"/>
      <c r="N191" s="27"/>
      <c r="O191" s="27"/>
      <c r="P191" s="27"/>
      <c r="Q191" s="25" t="s">
        <v>119</v>
      </c>
      <c r="R191" s="25" t="s">
        <v>120</v>
      </c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</row>
    <row r="192" spans="1:45" ht="44" customHeight="1">
      <c r="A192" s="22" t="s">
        <v>23</v>
      </c>
      <c r="B192" s="23" t="s">
        <v>117</v>
      </c>
      <c r="C192" s="22" t="s">
        <v>118</v>
      </c>
      <c r="D192" s="22" t="s">
        <v>110</v>
      </c>
      <c r="E192" s="23" t="s">
        <v>106</v>
      </c>
      <c r="F192" s="23">
        <v>1506</v>
      </c>
      <c r="G192" s="23">
        <v>1768</v>
      </c>
      <c r="H192" s="23">
        <v>0</v>
      </c>
      <c r="I192" s="23">
        <v>3274</v>
      </c>
      <c r="J192" s="23"/>
      <c r="K192" s="23"/>
      <c r="L192" s="23"/>
      <c r="M192" s="23"/>
      <c r="N192" s="24"/>
      <c r="O192" s="24"/>
      <c r="P192" s="24"/>
      <c r="Q192" s="22" t="s">
        <v>119</v>
      </c>
      <c r="R192" s="22" t="s">
        <v>120</v>
      </c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</row>
    <row r="193" spans="1:45" ht="44" customHeight="1">
      <c r="A193" s="25" t="s">
        <v>23</v>
      </c>
      <c r="B193" s="26" t="s">
        <v>117</v>
      </c>
      <c r="C193" s="25" t="s">
        <v>118</v>
      </c>
      <c r="D193" s="25" t="s">
        <v>110</v>
      </c>
      <c r="E193" s="26" t="s">
        <v>106</v>
      </c>
      <c r="F193" s="26">
        <v>2027</v>
      </c>
      <c r="G193" s="26">
        <v>2781</v>
      </c>
      <c r="H193" s="26">
        <v>0</v>
      </c>
      <c r="I193" s="26">
        <v>4808</v>
      </c>
      <c r="J193" s="26"/>
      <c r="K193" s="26"/>
      <c r="L193" s="26"/>
      <c r="M193" s="26"/>
      <c r="N193" s="27"/>
      <c r="O193" s="27"/>
      <c r="P193" s="27"/>
      <c r="Q193" s="25" t="s">
        <v>119</v>
      </c>
      <c r="R193" s="25" t="s">
        <v>120</v>
      </c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</row>
    <row r="194" spans="1:45" ht="44" customHeight="1">
      <c r="A194" s="22" t="s">
        <v>23</v>
      </c>
      <c r="B194" s="23" t="s">
        <v>117</v>
      </c>
      <c r="C194" s="22" t="s">
        <v>118</v>
      </c>
      <c r="D194" s="22" t="s">
        <v>110</v>
      </c>
      <c r="E194" s="23" t="s">
        <v>106</v>
      </c>
      <c r="F194" s="23">
        <v>2451</v>
      </c>
      <c r="G194" s="23">
        <v>2612</v>
      </c>
      <c r="H194" s="23">
        <v>0</v>
      </c>
      <c r="I194" s="23">
        <v>5063</v>
      </c>
      <c r="J194" s="23"/>
      <c r="K194" s="23"/>
      <c r="L194" s="23"/>
      <c r="M194" s="23"/>
      <c r="N194" s="24"/>
      <c r="O194" s="24"/>
      <c r="P194" s="24"/>
      <c r="Q194" s="22" t="s">
        <v>119</v>
      </c>
      <c r="R194" s="22" t="s">
        <v>120</v>
      </c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</row>
    <row r="195" spans="1:45" ht="44" customHeight="1">
      <c r="A195" s="25" t="s">
        <v>23</v>
      </c>
      <c r="B195" s="26" t="s">
        <v>117</v>
      </c>
      <c r="C195" s="25" t="s">
        <v>118</v>
      </c>
      <c r="D195" s="25" t="s">
        <v>110</v>
      </c>
      <c r="E195" s="26" t="s">
        <v>106</v>
      </c>
      <c r="F195" s="26">
        <v>1478</v>
      </c>
      <c r="G195" s="26">
        <v>3263</v>
      </c>
      <c r="H195" s="26">
        <v>0</v>
      </c>
      <c r="I195" s="26">
        <v>4741</v>
      </c>
      <c r="J195" s="26"/>
      <c r="K195" s="26"/>
      <c r="L195" s="26"/>
      <c r="M195" s="26"/>
      <c r="N195" s="27"/>
      <c r="O195" s="27"/>
      <c r="P195" s="27"/>
      <c r="Q195" s="25" t="s">
        <v>119</v>
      </c>
      <c r="R195" s="25" t="s">
        <v>120</v>
      </c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</row>
    <row r="196" spans="1:45" ht="44" customHeight="1">
      <c r="A196" s="22" t="s">
        <v>23</v>
      </c>
      <c r="B196" s="23" t="s">
        <v>117</v>
      </c>
      <c r="C196" s="22" t="s">
        <v>118</v>
      </c>
      <c r="D196" s="22" t="s">
        <v>110</v>
      </c>
      <c r="E196" s="23" t="s">
        <v>106</v>
      </c>
      <c r="F196" s="23">
        <v>2712</v>
      </c>
      <c r="G196" s="23">
        <v>1339</v>
      </c>
      <c r="H196" s="23">
        <v>0</v>
      </c>
      <c r="I196" s="23">
        <v>4051</v>
      </c>
      <c r="J196" s="23"/>
      <c r="K196" s="23"/>
      <c r="L196" s="23"/>
      <c r="M196" s="23"/>
      <c r="N196" s="24"/>
      <c r="O196" s="24"/>
      <c r="P196" s="24"/>
      <c r="Q196" s="22" t="s">
        <v>119</v>
      </c>
      <c r="R196" s="22" t="s">
        <v>120</v>
      </c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</row>
    <row r="197" spans="1:45" ht="44" customHeight="1">
      <c r="A197" s="25" t="s">
        <v>23</v>
      </c>
      <c r="B197" s="26" t="s">
        <v>117</v>
      </c>
      <c r="C197" s="25" t="s">
        <v>118</v>
      </c>
      <c r="D197" s="25" t="s">
        <v>110</v>
      </c>
      <c r="E197" s="26" t="s">
        <v>106</v>
      </c>
      <c r="F197" s="26">
        <v>4949</v>
      </c>
      <c r="G197" s="26">
        <v>3383</v>
      </c>
      <c r="H197" s="26">
        <v>0</v>
      </c>
      <c r="I197" s="26">
        <v>8332</v>
      </c>
      <c r="J197" s="26"/>
      <c r="K197" s="26"/>
      <c r="L197" s="26"/>
      <c r="M197" s="26"/>
      <c r="N197" s="27"/>
      <c r="O197" s="27"/>
      <c r="P197" s="27"/>
      <c r="Q197" s="25" t="s">
        <v>119</v>
      </c>
      <c r="R197" s="25" t="s">
        <v>120</v>
      </c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</row>
    <row r="198" spans="1:45" ht="44" customHeight="1">
      <c r="A198" s="22" t="s">
        <v>23</v>
      </c>
      <c r="B198" s="23" t="s">
        <v>117</v>
      </c>
      <c r="C198" s="22" t="s">
        <v>118</v>
      </c>
      <c r="D198" s="22" t="s">
        <v>110</v>
      </c>
      <c r="E198" s="23" t="s">
        <v>106</v>
      </c>
      <c r="F198" s="23">
        <v>8665</v>
      </c>
      <c r="G198" s="23">
        <v>3527</v>
      </c>
      <c r="H198" s="23">
        <v>0</v>
      </c>
      <c r="I198" s="23">
        <v>12192</v>
      </c>
      <c r="J198" s="23"/>
      <c r="K198" s="23"/>
      <c r="L198" s="23"/>
      <c r="M198" s="23"/>
      <c r="N198" s="24"/>
      <c r="O198" s="24"/>
      <c r="P198" s="24"/>
      <c r="Q198" s="22" t="s">
        <v>119</v>
      </c>
      <c r="R198" s="22" t="s">
        <v>120</v>
      </c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</row>
    <row r="199" spans="1:45" ht="44" customHeight="1">
      <c r="A199" s="25" t="s">
        <v>23</v>
      </c>
      <c r="B199" s="26" t="s">
        <v>117</v>
      </c>
      <c r="C199" s="25" t="s">
        <v>118</v>
      </c>
      <c r="D199" s="25" t="s">
        <v>110</v>
      </c>
      <c r="E199" s="26" t="s">
        <v>106</v>
      </c>
      <c r="F199" s="26">
        <v>2409</v>
      </c>
      <c r="G199" s="26">
        <v>3161</v>
      </c>
      <c r="H199" s="26">
        <v>0</v>
      </c>
      <c r="I199" s="26">
        <v>5570</v>
      </c>
      <c r="J199" s="26"/>
      <c r="K199" s="26"/>
      <c r="L199" s="26"/>
      <c r="M199" s="26"/>
      <c r="N199" s="27"/>
      <c r="O199" s="27"/>
      <c r="P199" s="27"/>
      <c r="Q199" s="25" t="s">
        <v>119</v>
      </c>
      <c r="R199" s="25" t="s">
        <v>120</v>
      </c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</row>
    <row r="200" spans="1:45" ht="44" customHeight="1">
      <c r="A200" s="22" t="s">
        <v>23</v>
      </c>
      <c r="B200" s="23" t="s">
        <v>117</v>
      </c>
      <c r="C200" s="22" t="s">
        <v>118</v>
      </c>
      <c r="D200" s="22" t="s">
        <v>111</v>
      </c>
      <c r="E200" s="23" t="s">
        <v>106</v>
      </c>
      <c r="F200" s="23">
        <v>1047</v>
      </c>
      <c r="G200" s="23">
        <v>53</v>
      </c>
      <c r="H200" s="23">
        <v>0</v>
      </c>
      <c r="I200" s="23">
        <v>1100</v>
      </c>
      <c r="J200" s="23"/>
      <c r="K200" s="23"/>
      <c r="L200" s="23"/>
      <c r="M200" s="23"/>
      <c r="N200" s="24"/>
      <c r="O200" s="24"/>
      <c r="P200" s="24"/>
      <c r="Q200" s="22" t="s">
        <v>119</v>
      </c>
      <c r="R200" s="22" t="s">
        <v>120</v>
      </c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</row>
    <row r="201" spans="1:45" ht="44" customHeight="1">
      <c r="A201" s="25" t="s">
        <v>23</v>
      </c>
      <c r="B201" s="26" t="s">
        <v>117</v>
      </c>
      <c r="C201" s="25" t="s">
        <v>118</v>
      </c>
      <c r="D201" s="25" t="s">
        <v>111</v>
      </c>
      <c r="E201" s="26" t="s">
        <v>106</v>
      </c>
      <c r="F201" s="26">
        <v>4490</v>
      </c>
      <c r="G201" s="26">
        <v>347</v>
      </c>
      <c r="H201" s="26">
        <v>0</v>
      </c>
      <c r="I201" s="26">
        <v>4837</v>
      </c>
      <c r="J201" s="26"/>
      <c r="K201" s="26"/>
      <c r="L201" s="26"/>
      <c r="M201" s="26"/>
      <c r="N201" s="27"/>
      <c r="O201" s="27"/>
      <c r="P201" s="27"/>
      <c r="Q201" s="25" t="s">
        <v>119</v>
      </c>
      <c r="R201" s="25" t="s">
        <v>120</v>
      </c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</row>
    <row r="202" spans="1:45" ht="44" customHeight="1">
      <c r="A202" s="22" t="s">
        <v>23</v>
      </c>
      <c r="B202" s="23" t="s">
        <v>117</v>
      </c>
      <c r="C202" s="22" t="s">
        <v>118</v>
      </c>
      <c r="D202" s="22" t="s">
        <v>111</v>
      </c>
      <c r="E202" s="23" t="s">
        <v>106</v>
      </c>
      <c r="F202" s="23">
        <v>5200</v>
      </c>
      <c r="G202" s="23">
        <v>176</v>
      </c>
      <c r="H202" s="23">
        <v>0</v>
      </c>
      <c r="I202" s="23">
        <v>5376</v>
      </c>
      <c r="J202" s="23"/>
      <c r="K202" s="23"/>
      <c r="L202" s="23"/>
      <c r="M202" s="23"/>
      <c r="N202" s="24"/>
      <c r="O202" s="24"/>
      <c r="P202" s="24"/>
      <c r="Q202" s="22" t="s">
        <v>119</v>
      </c>
      <c r="R202" s="22" t="s">
        <v>120</v>
      </c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</row>
    <row r="203" spans="1:45" ht="44" customHeight="1">
      <c r="A203" s="25" t="s">
        <v>23</v>
      </c>
      <c r="B203" s="26" t="s">
        <v>117</v>
      </c>
      <c r="C203" s="25" t="s">
        <v>118</v>
      </c>
      <c r="D203" s="25" t="s">
        <v>111</v>
      </c>
      <c r="E203" s="26" t="s">
        <v>106</v>
      </c>
      <c r="F203" s="26">
        <v>8206</v>
      </c>
      <c r="G203" s="26">
        <v>1250</v>
      </c>
      <c r="H203" s="26">
        <v>0</v>
      </c>
      <c r="I203" s="26">
        <v>9456</v>
      </c>
      <c r="J203" s="26"/>
      <c r="K203" s="26"/>
      <c r="L203" s="26"/>
      <c r="M203" s="26"/>
      <c r="N203" s="27"/>
      <c r="O203" s="27"/>
      <c r="P203" s="27"/>
      <c r="Q203" s="25" t="s">
        <v>119</v>
      </c>
      <c r="R203" s="25" t="s">
        <v>120</v>
      </c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</row>
    <row r="204" spans="1:45" ht="44" customHeight="1">
      <c r="A204" s="22" t="s">
        <v>23</v>
      </c>
      <c r="B204" s="23" t="s">
        <v>117</v>
      </c>
      <c r="C204" s="22" t="s">
        <v>118</v>
      </c>
      <c r="D204" s="22" t="s">
        <v>111</v>
      </c>
      <c r="E204" s="23" t="s">
        <v>106</v>
      </c>
      <c r="F204" s="23">
        <v>1568</v>
      </c>
      <c r="G204" s="23">
        <v>1303</v>
      </c>
      <c r="H204" s="23">
        <v>0</v>
      </c>
      <c r="I204" s="23">
        <v>2871</v>
      </c>
      <c r="J204" s="23"/>
      <c r="K204" s="23"/>
      <c r="L204" s="23"/>
      <c r="M204" s="23"/>
      <c r="N204" s="24"/>
      <c r="O204" s="24"/>
      <c r="P204" s="24"/>
      <c r="Q204" s="22" t="s">
        <v>119</v>
      </c>
      <c r="R204" s="22" t="s">
        <v>120</v>
      </c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</row>
    <row r="205" spans="1:45" ht="44" customHeight="1">
      <c r="A205" s="25" t="s">
        <v>23</v>
      </c>
      <c r="B205" s="26" t="s">
        <v>117</v>
      </c>
      <c r="C205" s="25" t="s">
        <v>118</v>
      </c>
      <c r="D205" s="25" t="s">
        <v>111</v>
      </c>
      <c r="E205" s="26" t="s">
        <v>106</v>
      </c>
      <c r="F205" s="26">
        <v>718</v>
      </c>
      <c r="G205" s="26">
        <v>185</v>
      </c>
      <c r="H205" s="26">
        <v>0</v>
      </c>
      <c r="I205" s="26">
        <v>903</v>
      </c>
      <c r="J205" s="26"/>
      <c r="K205" s="26"/>
      <c r="L205" s="26"/>
      <c r="M205" s="26"/>
      <c r="N205" s="27"/>
      <c r="O205" s="27"/>
      <c r="P205" s="27"/>
      <c r="Q205" s="25" t="s">
        <v>119</v>
      </c>
      <c r="R205" s="25" t="s">
        <v>120</v>
      </c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</row>
    <row r="206" spans="1:45" ht="44" customHeight="1">
      <c r="A206" s="22" t="s">
        <v>23</v>
      </c>
      <c r="B206" s="23" t="s">
        <v>117</v>
      </c>
      <c r="C206" s="22" t="s">
        <v>118</v>
      </c>
      <c r="D206" s="22" t="s">
        <v>111</v>
      </c>
      <c r="E206" s="23" t="s">
        <v>106</v>
      </c>
      <c r="F206" s="23">
        <v>1019</v>
      </c>
      <c r="G206" s="23">
        <v>148</v>
      </c>
      <c r="H206" s="23">
        <v>0</v>
      </c>
      <c r="I206" s="23">
        <v>1167</v>
      </c>
      <c r="J206" s="23"/>
      <c r="K206" s="23"/>
      <c r="L206" s="23"/>
      <c r="M206" s="23"/>
      <c r="N206" s="24"/>
      <c r="O206" s="24"/>
      <c r="P206" s="24"/>
      <c r="Q206" s="22" t="s">
        <v>119</v>
      </c>
      <c r="R206" s="22" t="s">
        <v>120</v>
      </c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</row>
    <row r="207" spans="1:45" ht="44" customHeight="1">
      <c r="A207" s="25" t="s">
        <v>23</v>
      </c>
      <c r="B207" s="26" t="s">
        <v>117</v>
      </c>
      <c r="C207" s="25" t="s">
        <v>118</v>
      </c>
      <c r="D207" s="25" t="s">
        <v>111</v>
      </c>
      <c r="E207" s="26" t="s">
        <v>106</v>
      </c>
      <c r="F207" s="26">
        <v>1065</v>
      </c>
      <c r="G207" s="26">
        <v>138</v>
      </c>
      <c r="H207" s="26">
        <v>0</v>
      </c>
      <c r="I207" s="26">
        <v>1203</v>
      </c>
      <c r="J207" s="26"/>
      <c r="K207" s="26"/>
      <c r="L207" s="26"/>
      <c r="M207" s="26"/>
      <c r="N207" s="27"/>
      <c r="O207" s="27"/>
      <c r="P207" s="27"/>
      <c r="Q207" s="25" t="s">
        <v>119</v>
      </c>
      <c r="R207" s="25" t="s">
        <v>120</v>
      </c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</row>
    <row r="208" spans="1:45" ht="44" customHeight="1">
      <c r="A208" s="22" t="s">
        <v>23</v>
      </c>
      <c r="B208" s="23" t="s">
        <v>117</v>
      </c>
      <c r="C208" s="22" t="s">
        <v>118</v>
      </c>
      <c r="D208" s="22" t="s">
        <v>111</v>
      </c>
      <c r="E208" s="23" t="s">
        <v>106</v>
      </c>
      <c r="F208" s="23">
        <v>2253</v>
      </c>
      <c r="G208" s="23">
        <v>1885</v>
      </c>
      <c r="H208" s="23">
        <v>0</v>
      </c>
      <c r="I208" s="23">
        <v>4138</v>
      </c>
      <c r="J208" s="23"/>
      <c r="K208" s="23"/>
      <c r="L208" s="23"/>
      <c r="M208" s="23"/>
      <c r="N208" s="24"/>
      <c r="O208" s="24"/>
      <c r="P208" s="24"/>
      <c r="Q208" s="22" t="s">
        <v>119</v>
      </c>
      <c r="R208" s="22" t="s">
        <v>120</v>
      </c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</row>
    <row r="209" spans="1:45" ht="44" customHeight="1">
      <c r="A209" s="25" t="s">
        <v>23</v>
      </c>
      <c r="B209" s="26" t="s">
        <v>117</v>
      </c>
      <c r="C209" s="25" t="s">
        <v>118</v>
      </c>
      <c r="D209" s="25" t="s">
        <v>111</v>
      </c>
      <c r="E209" s="26" t="s">
        <v>106</v>
      </c>
      <c r="F209" s="26">
        <v>2181</v>
      </c>
      <c r="G209" s="26">
        <v>1156</v>
      </c>
      <c r="H209" s="26">
        <v>0</v>
      </c>
      <c r="I209" s="26">
        <v>3337</v>
      </c>
      <c r="J209" s="26"/>
      <c r="K209" s="26"/>
      <c r="L209" s="26"/>
      <c r="M209" s="26"/>
      <c r="N209" s="27"/>
      <c r="O209" s="27"/>
      <c r="P209" s="27"/>
      <c r="Q209" s="25" t="s">
        <v>119</v>
      </c>
      <c r="R209" s="25" t="s">
        <v>120</v>
      </c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</row>
    <row r="210" spans="1:45" ht="44" customHeight="1">
      <c r="A210" s="22" t="s">
        <v>23</v>
      </c>
      <c r="B210" s="23" t="s">
        <v>117</v>
      </c>
      <c r="C210" s="22" t="s">
        <v>118</v>
      </c>
      <c r="D210" s="22" t="s">
        <v>111</v>
      </c>
      <c r="E210" s="23" t="s">
        <v>106</v>
      </c>
      <c r="F210" s="23">
        <v>1950</v>
      </c>
      <c r="G210" s="23">
        <v>367</v>
      </c>
      <c r="H210" s="23">
        <v>0</v>
      </c>
      <c r="I210" s="23">
        <v>2317</v>
      </c>
      <c r="J210" s="23"/>
      <c r="K210" s="23"/>
      <c r="L210" s="23"/>
      <c r="M210" s="23"/>
      <c r="N210" s="24"/>
      <c r="O210" s="24"/>
      <c r="P210" s="24"/>
      <c r="Q210" s="22" t="s">
        <v>119</v>
      </c>
      <c r="R210" s="22" t="s">
        <v>120</v>
      </c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</row>
    <row r="211" spans="1:45" ht="44" customHeight="1">
      <c r="A211" s="25" t="s">
        <v>23</v>
      </c>
      <c r="B211" s="26" t="s">
        <v>117</v>
      </c>
      <c r="C211" s="25" t="s">
        <v>118</v>
      </c>
      <c r="D211" s="25" t="s">
        <v>111</v>
      </c>
      <c r="E211" s="26" t="s">
        <v>106</v>
      </c>
      <c r="F211" s="26">
        <v>1992</v>
      </c>
      <c r="G211" s="26">
        <v>161</v>
      </c>
      <c r="H211" s="26">
        <v>0</v>
      </c>
      <c r="I211" s="26">
        <v>2153</v>
      </c>
      <c r="J211" s="26"/>
      <c r="K211" s="26"/>
      <c r="L211" s="26"/>
      <c r="M211" s="26"/>
      <c r="N211" s="27"/>
      <c r="O211" s="27"/>
      <c r="P211" s="27"/>
      <c r="Q211" s="25" t="s">
        <v>119</v>
      </c>
      <c r="R211" s="25" t="s">
        <v>120</v>
      </c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</row>
    <row r="212" spans="1:45" ht="44" customHeight="1">
      <c r="A212" s="22" t="s">
        <v>23</v>
      </c>
      <c r="B212" s="23" t="s">
        <v>117</v>
      </c>
      <c r="C212" s="22" t="s">
        <v>118</v>
      </c>
      <c r="D212" s="22" t="s">
        <v>112</v>
      </c>
      <c r="E212" s="23" t="s">
        <v>106</v>
      </c>
      <c r="F212" s="23">
        <v>943</v>
      </c>
      <c r="G212" s="23">
        <v>2738</v>
      </c>
      <c r="H212" s="23">
        <v>0</v>
      </c>
      <c r="I212" s="23">
        <v>3681</v>
      </c>
      <c r="J212" s="23"/>
      <c r="K212" s="23"/>
      <c r="L212" s="23"/>
      <c r="M212" s="23"/>
      <c r="N212" s="24"/>
      <c r="O212" s="24"/>
      <c r="P212" s="24"/>
      <c r="Q212" s="22" t="s">
        <v>119</v>
      </c>
      <c r="R212" s="22" t="s">
        <v>120</v>
      </c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</row>
    <row r="213" spans="1:45" ht="44" customHeight="1">
      <c r="A213" s="25" t="s">
        <v>23</v>
      </c>
      <c r="B213" s="26" t="s">
        <v>117</v>
      </c>
      <c r="C213" s="25" t="s">
        <v>118</v>
      </c>
      <c r="D213" s="25" t="s">
        <v>112</v>
      </c>
      <c r="E213" s="26" t="s">
        <v>106</v>
      </c>
      <c r="F213" s="26">
        <v>5909</v>
      </c>
      <c r="G213" s="26">
        <v>1952</v>
      </c>
      <c r="H213" s="26">
        <v>0</v>
      </c>
      <c r="I213" s="26">
        <v>7861</v>
      </c>
      <c r="J213" s="26"/>
      <c r="K213" s="26"/>
      <c r="L213" s="26"/>
      <c r="M213" s="26"/>
      <c r="N213" s="27"/>
      <c r="O213" s="27"/>
      <c r="P213" s="27"/>
      <c r="Q213" s="25" t="s">
        <v>119</v>
      </c>
      <c r="R213" s="25" t="s">
        <v>120</v>
      </c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</row>
    <row r="214" spans="1:45" ht="44" customHeight="1">
      <c r="A214" s="22" t="s">
        <v>23</v>
      </c>
      <c r="B214" s="23" t="s">
        <v>117</v>
      </c>
      <c r="C214" s="22" t="s">
        <v>118</v>
      </c>
      <c r="D214" s="22" t="s">
        <v>112</v>
      </c>
      <c r="E214" s="23" t="s">
        <v>106</v>
      </c>
      <c r="F214" s="23">
        <v>3384</v>
      </c>
      <c r="G214" s="23">
        <v>2467</v>
      </c>
      <c r="H214" s="23">
        <v>0</v>
      </c>
      <c r="I214" s="23">
        <v>5851</v>
      </c>
      <c r="J214" s="23"/>
      <c r="K214" s="23"/>
      <c r="L214" s="23"/>
      <c r="M214" s="23"/>
      <c r="N214" s="24"/>
      <c r="O214" s="24"/>
      <c r="P214" s="24"/>
      <c r="Q214" s="22" t="s">
        <v>119</v>
      </c>
      <c r="R214" s="22" t="s">
        <v>120</v>
      </c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</row>
    <row r="215" spans="1:45" ht="44" customHeight="1">
      <c r="A215" s="25" t="s">
        <v>24</v>
      </c>
      <c r="B215" s="26" t="s">
        <v>103</v>
      </c>
      <c r="C215" s="25" t="s">
        <v>121</v>
      </c>
      <c r="D215" s="25" t="s">
        <v>105</v>
      </c>
      <c r="E215" s="26" t="s">
        <v>106</v>
      </c>
      <c r="F215" s="26">
        <v>5400</v>
      </c>
      <c r="G215" s="26">
        <v>332</v>
      </c>
      <c r="H215" s="26">
        <v>0</v>
      </c>
      <c r="I215" s="26">
        <v>5732</v>
      </c>
      <c r="J215" s="26">
        <v>0.75</v>
      </c>
      <c r="K215" s="26">
        <v>7.4999999999999997E-2</v>
      </c>
      <c r="L215" s="26">
        <v>0</v>
      </c>
      <c r="M215" s="26">
        <v>4.5</v>
      </c>
      <c r="N215" s="27" t="e">
        <f>MAX(0,F215-H215-#REF!)*J215/1000000 + H215*K215/1000000 +#REF!* L215/1000000</f>
        <v>#REF!</v>
      </c>
      <c r="O215" s="27">
        <f t="shared" ref="O215:O278" si="9">G215*M215/1000000</f>
        <v>1.4940000000000001E-3</v>
      </c>
      <c r="P215" s="27" t="e">
        <f t="shared" ref="P215:P278" si="10">N215+O215</f>
        <v>#REF!</v>
      </c>
      <c r="Q215" s="25" t="s">
        <v>122</v>
      </c>
      <c r="R215" s="25" t="s">
        <v>108</v>
      </c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</row>
    <row r="216" spans="1:45" ht="44" customHeight="1">
      <c r="A216" s="22" t="s">
        <v>24</v>
      </c>
      <c r="B216" s="23" t="s">
        <v>103</v>
      </c>
      <c r="C216" s="22" t="s">
        <v>121</v>
      </c>
      <c r="D216" s="22" t="s">
        <v>109</v>
      </c>
      <c r="E216" s="23" t="s">
        <v>106</v>
      </c>
      <c r="F216" s="23">
        <v>1468</v>
      </c>
      <c r="G216" s="23">
        <v>14</v>
      </c>
      <c r="H216" s="23">
        <v>0</v>
      </c>
      <c r="I216" s="23">
        <v>1482</v>
      </c>
      <c r="J216" s="23">
        <v>0.75</v>
      </c>
      <c r="K216" s="23">
        <v>7.4999999999999997E-2</v>
      </c>
      <c r="L216" s="23">
        <v>0</v>
      </c>
      <c r="M216" s="23">
        <v>4.5</v>
      </c>
      <c r="N216" s="24" t="e">
        <f>MAX(0,F216-H216-#REF!)*J216/1000000 + H216*K216/1000000 +#REF!* L216/1000000</f>
        <v>#REF!</v>
      </c>
      <c r="O216" s="24">
        <f t="shared" si="9"/>
        <v>6.3E-5</v>
      </c>
      <c r="P216" s="24" t="e">
        <f t="shared" si="10"/>
        <v>#REF!</v>
      </c>
      <c r="Q216" s="22" t="s">
        <v>122</v>
      </c>
      <c r="R216" s="22" t="s">
        <v>108</v>
      </c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</row>
    <row r="217" spans="1:45" ht="44" customHeight="1">
      <c r="A217" s="25" t="s">
        <v>24</v>
      </c>
      <c r="B217" s="26" t="s">
        <v>103</v>
      </c>
      <c r="C217" s="25" t="s">
        <v>121</v>
      </c>
      <c r="D217" s="25" t="s">
        <v>109</v>
      </c>
      <c r="E217" s="26" t="s">
        <v>106</v>
      </c>
      <c r="F217" s="26">
        <v>5208</v>
      </c>
      <c r="G217" s="26">
        <v>14</v>
      </c>
      <c r="H217" s="26">
        <v>0</v>
      </c>
      <c r="I217" s="26">
        <v>5222</v>
      </c>
      <c r="J217" s="26">
        <v>0.75</v>
      </c>
      <c r="K217" s="26">
        <v>7.4999999999999997E-2</v>
      </c>
      <c r="L217" s="26">
        <v>0</v>
      </c>
      <c r="M217" s="26">
        <v>4.5</v>
      </c>
      <c r="N217" s="27" t="e">
        <f>MAX(0,F217-H217-#REF!)*J217/1000000 + H217*K217/1000000 +#REF!* L217/1000000</f>
        <v>#REF!</v>
      </c>
      <c r="O217" s="27">
        <f t="shared" si="9"/>
        <v>6.3E-5</v>
      </c>
      <c r="P217" s="27" t="e">
        <f t="shared" si="10"/>
        <v>#REF!</v>
      </c>
      <c r="Q217" s="25" t="s">
        <v>122</v>
      </c>
      <c r="R217" s="25" t="s">
        <v>108</v>
      </c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</row>
    <row r="218" spans="1:45" ht="44" customHeight="1">
      <c r="A218" s="22" t="s">
        <v>24</v>
      </c>
      <c r="B218" s="23" t="s">
        <v>103</v>
      </c>
      <c r="C218" s="22" t="s">
        <v>121</v>
      </c>
      <c r="D218" s="22" t="s">
        <v>109</v>
      </c>
      <c r="E218" s="23" t="s">
        <v>106</v>
      </c>
      <c r="F218" s="23">
        <v>1764</v>
      </c>
      <c r="G218" s="23">
        <v>14</v>
      </c>
      <c r="H218" s="23">
        <v>0</v>
      </c>
      <c r="I218" s="23">
        <v>1778</v>
      </c>
      <c r="J218" s="23">
        <v>0.75</v>
      </c>
      <c r="K218" s="23">
        <v>7.4999999999999997E-2</v>
      </c>
      <c r="L218" s="23">
        <v>0</v>
      </c>
      <c r="M218" s="23">
        <v>4.5</v>
      </c>
      <c r="N218" s="24" t="e">
        <f>MAX(0,F218-H218-#REF!)*J218/1000000 + H218*K218/1000000 +#REF!* L218/1000000</f>
        <v>#REF!</v>
      </c>
      <c r="O218" s="24">
        <f t="shared" si="9"/>
        <v>6.3E-5</v>
      </c>
      <c r="P218" s="24" t="e">
        <f t="shared" si="10"/>
        <v>#REF!</v>
      </c>
      <c r="Q218" s="22" t="s">
        <v>122</v>
      </c>
      <c r="R218" s="22" t="s">
        <v>108</v>
      </c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</row>
    <row r="219" spans="1:45" ht="44" customHeight="1">
      <c r="A219" s="25" t="s">
        <v>24</v>
      </c>
      <c r="B219" s="26" t="s">
        <v>103</v>
      </c>
      <c r="C219" s="25" t="s">
        <v>121</v>
      </c>
      <c r="D219" s="25" t="s">
        <v>109</v>
      </c>
      <c r="E219" s="26" t="s">
        <v>106</v>
      </c>
      <c r="F219" s="26">
        <v>1776</v>
      </c>
      <c r="G219" s="26">
        <v>14</v>
      </c>
      <c r="H219" s="26">
        <v>0</v>
      </c>
      <c r="I219" s="26">
        <v>1790</v>
      </c>
      <c r="J219" s="26">
        <v>0.75</v>
      </c>
      <c r="K219" s="26">
        <v>7.4999999999999997E-2</v>
      </c>
      <c r="L219" s="26">
        <v>0</v>
      </c>
      <c r="M219" s="26">
        <v>4.5</v>
      </c>
      <c r="N219" s="27" t="e">
        <f>MAX(0,F219-H219-#REF!)*J219/1000000 + H219*K219/1000000 +#REF!* L219/1000000</f>
        <v>#REF!</v>
      </c>
      <c r="O219" s="27">
        <f t="shared" si="9"/>
        <v>6.3E-5</v>
      </c>
      <c r="P219" s="27" t="e">
        <f t="shared" si="10"/>
        <v>#REF!</v>
      </c>
      <c r="Q219" s="25" t="s">
        <v>122</v>
      </c>
      <c r="R219" s="25" t="s">
        <v>108</v>
      </c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</row>
    <row r="220" spans="1:45" ht="44" customHeight="1">
      <c r="A220" s="22" t="s">
        <v>24</v>
      </c>
      <c r="B220" s="23" t="s">
        <v>103</v>
      </c>
      <c r="C220" s="22" t="s">
        <v>121</v>
      </c>
      <c r="D220" s="22" t="s">
        <v>109</v>
      </c>
      <c r="E220" s="23" t="s">
        <v>106</v>
      </c>
      <c r="F220" s="23">
        <v>2730</v>
      </c>
      <c r="G220" s="23">
        <v>14</v>
      </c>
      <c r="H220" s="23">
        <v>0</v>
      </c>
      <c r="I220" s="23">
        <v>2744</v>
      </c>
      <c r="J220" s="23">
        <v>0.75</v>
      </c>
      <c r="K220" s="23">
        <v>7.4999999999999997E-2</v>
      </c>
      <c r="L220" s="23">
        <v>0</v>
      </c>
      <c r="M220" s="23">
        <v>4.5</v>
      </c>
      <c r="N220" s="24" t="e">
        <f>MAX(0,F220-H220-#REF!)*J220/1000000 + H220*K220/1000000 +#REF!* L220/1000000</f>
        <v>#REF!</v>
      </c>
      <c r="O220" s="24">
        <f t="shared" si="9"/>
        <v>6.3E-5</v>
      </c>
      <c r="P220" s="24" t="e">
        <f t="shared" si="10"/>
        <v>#REF!</v>
      </c>
      <c r="Q220" s="22" t="s">
        <v>122</v>
      </c>
      <c r="R220" s="22" t="s">
        <v>108</v>
      </c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</row>
    <row r="221" spans="1:45" ht="44" customHeight="1">
      <c r="A221" s="25" t="s">
        <v>24</v>
      </c>
      <c r="B221" s="26" t="s">
        <v>103</v>
      </c>
      <c r="C221" s="25" t="s">
        <v>121</v>
      </c>
      <c r="D221" s="25" t="s">
        <v>109</v>
      </c>
      <c r="E221" s="26" t="s">
        <v>106</v>
      </c>
      <c r="F221" s="26">
        <v>1728</v>
      </c>
      <c r="G221" s="26">
        <v>162</v>
      </c>
      <c r="H221" s="26">
        <v>0</v>
      </c>
      <c r="I221" s="26">
        <v>1890</v>
      </c>
      <c r="J221" s="26">
        <v>0.75</v>
      </c>
      <c r="K221" s="26">
        <v>7.4999999999999997E-2</v>
      </c>
      <c r="L221" s="26">
        <v>0</v>
      </c>
      <c r="M221" s="26">
        <v>4.5</v>
      </c>
      <c r="N221" s="27" t="e">
        <f>MAX(0,F221-H221-#REF!)*J221/1000000 + H221*K221/1000000 +#REF!* L221/1000000</f>
        <v>#REF!</v>
      </c>
      <c r="O221" s="27">
        <f t="shared" si="9"/>
        <v>7.2900000000000005E-4</v>
      </c>
      <c r="P221" s="27" t="e">
        <f t="shared" si="10"/>
        <v>#REF!</v>
      </c>
      <c r="Q221" s="25" t="s">
        <v>122</v>
      </c>
      <c r="R221" s="25" t="s">
        <v>108</v>
      </c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</row>
    <row r="222" spans="1:45" ht="44" customHeight="1">
      <c r="A222" s="22" t="s">
        <v>24</v>
      </c>
      <c r="B222" s="23" t="s">
        <v>103</v>
      </c>
      <c r="C222" s="22" t="s">
        <v>121</v>
      </c>
      <c r="D222" s="22" t="s">
        <v>109</v>
      </c>
      <c r="E222" s="23" t="s">
        <v>106</v>
      </c>
      <c r="F222" s="23">
        <v>2660</v>
      </c>
      <c r="G222" s="23">
        <v>160</v>
      </c>
      <c r="H222" s="23">
        <v>0</v>
      </c>
      <c r="I222" s="23">
        <v>2820</v>
      </c>
      <c r="J222" s="23">
        <v>0.75</v>
      </c>
      <c r="K222" s="23">
        <v>7.4999999999999997E-2</v>
      </c>
      <c r="L222" s="23">
        <v>0</v>
      </c>
      <c r="M222" s="23">
        <v>4.5</v>
      </c>
      <c r="N222" s="24" t="e">
        <f>MAX(0,F222-H222-#REF!)*J222/1000000 + H222*K222/1000000 +#REF!* L222/1000000</f>
        <v>#REF!</v>
      </c>
      <c r="O222" s="24">
        <f t="shared" si="9"/>
        <v>7.2000000000000005E-4</v>
      </c>
      <c r="P222" s="24" t="e">
        <f t="shared" si="10"/>
        <v>#REF!</v>
      </c>
      <c r="Q222" s="22" t="s">
        <v>122</v>
      </c>
      <c r="R222" s="22" t="s">
        <v>108</v>
      </c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</row>
    <row r="223" spans="1:45" ht="44" customHeight="1">
      <c r="A223" s="25" t="s">
        <v>24</v>
      </c>
      <c r="B223" s="26" t="s">
        <v>103</v>
      </c>
      <c r="C223" s="25" t="s">
        <v>121</v>
      </c>
      <c r="D223" s="25" t="s">
        <v>109</v>
      </c>
      <c r="E223" s="26" t="s">
        <v>106</v>
      </c>
      <c r="F223" s="26">
        <v>2236</v>
      </c>
      <c r="G223" s="26">
        <v>185</v>
      </c>
      <c r="H223" s="26">
        <v>0</v>
      </c>
      <c r="I223" s="26">
        <v>2421</v>
      </c>
      <c r="J223" s="26">
        <v>0.75</v>
      </c>
      <c r="K223" s="26">
        <v>7.4999999999999997E-2</v>
      </c>
      <c r="L223" s="26">
        <v>0</v>
      </c>
      <c r="M223" s="26">
        <v>4.5</v>
      </c>
      <c r="N223" s="27" t="e">
        <f>MAX(0,F223-H223-#REF!)*J223/1000000 + H223*K223/1000000 +#REF!* L223/1000000</f>
        <v>#REF!</v>
      </c>
      <c r="O223" s="27">
        <f t="shared" si="9"/>
        <v>8.3250000000000002E-4</v>
      </c>
      <c r="P223" s="27" t="e">
        <f t="shared" si="10"/>
        <v>#REF!</v>
      </c>
      <c r="Q223" s="25" t="s">
        <v>122</v>
      </c>
      <c r="R223" s="25" t="s">
        <v>108</v>
      </c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</row>
    <row r="224" spans="1:45" ht="44" customHeight="1">
      <c r="A224" s="22" t="s">
        <v>24</v>
      </c>
      <c r="B224" s="23" t="s">
        <v>103</v>
      </c>
      <c r="C224" s="22" t="s">
        <v>121</v>
      </c>
      <c r="D224" s="22" t="s">
        <v>109</v>
      </c>
      <c r="E224" s="23" t="s">
        <v>106</v>
      </c>
      <c r="F224" s="23">
        <v>2471</v>
      </c>
      <c r="G224" s="23">
        <v>14</v>
      </c>
      <c r="H224" s="23">
        <v>0</v>
      </c>
      <c r="I224" s="23">
        <v>2485</v>
      </c>
      <c r="J224" s="23">
        <v>0.75</v>
      </c>
      <c r="K224" s="23">
        <v>7.4999999999999997E-2</v>
      </c>
      <c r="L224" s="23">
        <v>0</v>
      </c>
      <c r="M224" s="23">
        <v>4.5</v>
      </c>
      <c r="N224" s="24" t="e">
        <f>MAX(0,F224-H224-#REF!)*J224/1000000 + H224*K224/1000000 +#REF!* L224/1000000</f>
        <v>#REF!</v>
      </c>
      <c r="O224" s="24">
        <f t="shared" si="9"/>
        <v>6.3E-5</v>
      </c>
      <c r="P224" s="24" t="e">
        <f t="shared" si="10"/>
        <v>#REF!</v>
      </c>
      <c r="Q224" s="22" t="s">
        <v>122</v>
      </c>
      <c r="R224" s="22" t="s">
        <v>108</v>
      </c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</row>
    <row r="225" spans="1:45" ht="44" customHeight="1">
      <c r="A225" s="25" t="s">
        <v>24</v>
      </c>
      <c r="B225" s="26" t="s">
        <v>103</v>
      </c>
      <c r="C225" s="25" t="s">
        <v>121</v>
      </c>
      <c r="D225" s="25" t="s">
        <v>109</v>
      </c>
      <c r="E225" s="26" t="s">
        <v>106</v>
      </c>
      <c r="F225" s="26">
        <v>4443</v>
      </c>
      <c r="G225" s="26">
        <v>201</v>
      </c>
      <c r="H225" s="26">
        <v>0</v>
      </c>
      <c r="I225" s="26">
        <v>4644</v>
      </c>
      <c r="J225" s="26">
        <v>0.75</v>
      </c>
      <c r="K225" s="26">
        <v>7.4999999999999997E-2</v>
      </c>
      <c r="L225" s="26">
        <v>0</v>
      </c>
      <c r="M225" s="26">
        <v>4.5</v>
      </c>
      <c r="N225" s="27" t="e">
        <f>MAX(0,F225-H225-#REF!)*J225/1000000 + H225*K225/1000000 +#REF!* L225/1000000</f>
        <v>#REF!</v>
      </c>
      <c r="O225" s="27">
        <f t="shared" si="9"/>
        <v>9.0450000000000003E-4</v>
      </c>
      <c r="P225" s="27" t="e">
        <f t="shared" si="10"/>
        <v>#REF!</v>
      </c>
      <c r="Q225" s="25" t="s">
        <v>122</v>
      </c>
      <c r="R225" s="25" t="s">
        <v>108</v>
      </c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</row>
    <row r="226" spans="1:45" ht="44" customHeight="1">
      <c r="A226" s="22" t="s">
        <v>24</v>
      </c>
      <c r="B226" s="23" t="s">
        <v>103</v>
      </c>
      <c r="C226" s="22" t="s">
        <v>121</v>
      </c>
      <c r="D226" s="22" t="s">
        <v>109</v>
      </c>
      <c r="E226" s="23" t="s">
        <v>106</v>
      </c>
      <c r="F226" s="23">
        <v>2562</v>
      </c>
      <c r="G226" s="23">
        <v>188</v>
      </c>
      <c r="H226" s="23">
        <v>0</v>
      </c>
      <c r="I226" s="23">
        <v>2750</v>
      </c>
      <c r="J226" s="23">
        <v>0.75</v>
      </c>
      <c r="K226" s="23">
        <v>7.4999999999999997E-2</v>
      </c>
      <c r="L226" s="23">
        <v>0</v>
      </c>
      <c r="M226" s="23">
        <v>4.5</v>
      </c>
      <c r="N226" s="24" t="e">
        <f>MAX(0,F226-H226-#REF!)*J226/1000000 + H226*K226/1000000 +#REF!* L226/1000000</f>
        <v>#REF!</v>
      </c>
      <c r="O226" s="24">
        <f t="shared" si="9"/>
        <v>8.4599999999999996E-4</v>
      </c>
      <c r="P226" s="24" t="e">
        <f t="shared" si="10"/>
        <v>#REF!</v>
      </c>
      <c r="Q226" s="22" t="s">
        <v>122</v>
      </c>
      <c r="R226" s="22" t="s">
        <v>108</v>
      </c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</row>
    <row r="227" spans="1:45" ht="44" customHeight="1">
      <c r="A227" s="25" t="s">
        <v>24</v>
      </c>
      <c r="B227" s="26" t="s">
        <v>103</v>
      </c>
      <c r="C227" s="25" t="s">
        <v>121</v>
      </c>
      <c r="D227" s="25" t="s">
        <v>109</v>
      </c>
      <c r="E227" s="26" t="s">
        <v>106</v>
      </c>
      <c r="F227" s="26">
        <v>7415</v>
      </c>
      <c r="G227" s="26">
        <v>353</v>
      </c>
      <c r="H227" s="26">
        <v>0</v>
      </c>
      <c r="I227" s="26">
        <v>7768</v>
      </c>
      <c r="J227" s="26">
        <v>0.75</v>
      </c>
      <c r="K227" s="26">
        <v>7.4999999999999997E-2</v>
      </c>
      <c r="L227" s="26">
        <v>0</v>
      </c>
      <c r="M227" s="26">
        <v>4.5</v>
      </c>
      <c r="N227" s="27" t="e">
        <f>MAX(0,F227-H227-#REF!)*J227/1000000 + H227*K227/1000000 +#REF!* L227/1000000</f>
        <v>#REF!</v>
      </c>
      <c r="O227" s="27">
        <f t="shared" si="9"/>
        <v>1.5885000000000001E-3</v>
      </c>
      <c r="P227" s="27" t="e">
        <f t="shared" si="10"/>
        <v>#REF!</v>
      </c>
      <c r="Q227" s="25" t="s">
        <v>122</v>
      </c>
      <c r="R227" s="25" t="s">
        <v>108</v>
      </c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</row>
    <row r="228" spans="1:45" ht="44" customHeight="1">
      <c r="A228" s="22" t="s">
        <v>24</v>
      </c>
      <c r="B228" s="23" t="s">
        <v>103</v>
      </c>
      <c r="C228" s="22" t="s">
        <v>121</v>
      </c>
      <c r="D228" s="22" t="s">
        <v>110</v>
      </c>
      <c r="E228" s="23" t="s">
        <v>106</v>
      </c>
      <c r="F228" s="23">
        <v>1732</v>
      </c>
      <c r="G228" s="23">
        <v>14</v>
      </c>
      <c r="H228" s="23">
        <v>0</v>
      </c>
      <c r="I228" s="23">
        <v>1746</v>
      </c>
      <c r="J228" s="23">
        <v>0.75</v>
      </c>
      <c r="K228" s="23">
        <v>7.4999999999999997E-2</v>
      </c>
      <c r="L228" s="23">
        <v>0</v>
      </c>
      <c r="M228" s="23">
        <v>4.5</v>
      </c>
      <c r="N228" s="24" t="e">
        <f>MAX(0,F228-H228-#REF!)*J228/1000000 + H228*K228/1000000 +#REF!* L228/1000000</f>
        <v>#REF!</v>
      </c>
      <c r="O228" s="24">
        <f t="shared" si="9"/>
        <v>6.3E-5</v>
      </c>
      <c r="P228" s="24" t="e">
        <f t="shared" si="10"/>
        <v>#REF!</v>
      </c>
      <c r="Q228" s="22" t="s">
        <v>122</v>
      </c>
      <c r="R228" s="22" t="s">
        <v>108</v>
      </c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</row>
    <row r="229" spans="1:45" ht="44" customHeight="1">
      <c r="A229" s="25" t="s">
        <v>24</v>
      </c>
      <c r="B229" s="26" t="s">
        <v>103</v>
      </c>
      <c r="C229" s="25" t="s">
        <v>121</v>
      </c>
      <c r="D229" s="25" t="s">
        <v>110</v>
      </c>
      <c r="E229" s="26" t="s">
        <v>106</v>
      </c>
      <c r="F229" s="26">
        <v>1768</v>
      </c>
      <c r="G229" s="26">
        <v>14</v>
      </c>
      <c r="H229" s="26">
        <v>0</v>
      </c>
      <c r="I229" s="26">
        <v>1782</v>
      </c>
      <c r="J229" s="26">
        <v>0.75</v>
      </c>
      <c r="K229" s="26">
        <v>7.4999999999999997E-2</v>
      </c>
      <c r="L229" s="26">
        <v>0</v>
      </c>
      <c r="M229" s="26">
        <v>4.5</v>
      </c>
      <c r="N229" s="27" t="e">
        <f>MAX(0,F229-H229-#REF!)*J229/1000000 + H229*K229/1000000 +#REF!* L229/1000000</f>
        <v>#REF!</v>
      </c>
      <c r="O229" s="27">
        <f t="shared" si="9"/>
        <v>6.3E-5</v>
      </c>
      <c r="P229" s="27" t="e">
        <f t="shared" si="10"/>
        <v>#REF!</v>
      </c>
      <c r="Q229" s="25" t="s">
        <v>122</v>
      </c>
      <c r="R229" s="25" t="s">
        <v>108</v>
      </c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</row>
    <row r="230" spans="1:45" ht="44" customHeight="1">
      <c r="A230" s="22" t="s">
        <v>24</v>
      </c>
      <c r="B230" s="23" t="s">
        <v>103</v>
      </c>
      <c r="C230" s="22" t="s">
        <v>121</v>
      </c>
      <c r="D230" s="22" t="s">
        <v>110</v>
      </c>
      <c r="E230" s="23" t="s">
        <v>106</v>
      </c>
      <c r="F230" s="23">
        <v>2240</v>
      </c>
      <c r="G230" s="23">
        <v>14</v>
      </c>
      <c r="H230" s="23">
        <v>0</v>
      </c>
      <c r="I230" s="23">
        <v>2254</v>
      </c>
      <c r="J230" s="23">
        <v>0.75</v>
      </c>
      <c r="K230" s="23">
        <v>7.4999999999999997E-2</v>
      </c>
      <c r="L230" s="23">
        <v>0</v>
      </c>
      <c r="M230" s="23">
        <v>4.5</v>
      </c>
      <c r="N230" s="24" t="e">
        <f>MAX(0,F230-H230-#REF!)*J230/1000000 + H230*K230/1000000 +#REF!* L230/1000000</f>
        <v>#REF!</v>
      </c>
      <c r="O230" s="24">
        <f t="shared" si="9"/>
        <v>6.3E-5</v>
      </c>
      <c r="P230" s="24" t="e">
        <f t="shared" si="10"/>
        <v>#REF!</v>
      </c>
      <c r="Q230" s="22" t="s">
        <v>122</v>
      </c>
      <c r="R230" s="22" t="s">
        <v>108</v>
      </c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</row>
    <row r="231" spans="1:45" ht="44" customHeight="1">
      <c r="A231" s="25" t="s">
        <v>24</v>
      </c>
      <c r="B231" s="26" t="s">
        <v>103</v>
      </c>
      <c r="C231" s="25" t="s">
        <v>121</v>
      </c>
      <c r="D231" s="25" t="s">
        <v>110</v>
      </c>
      <c r="E231" s="26" t="s">
        <v>106</v>
      </c>
      <c r="F231" s="26">
        <v>1780</v>
      </c>
      <c r="G231" s="26">
        <v>14</v>
      </c>
      <c r="H231" s="26">
        <v>0</v>
      </c>
      <c r="I231" s="26">
        <v>1794</v>
      </c>
      <c r="J231" s="26">
        <v>0.75</v>
      </c>
      <c r="K231" s="26">
        <v>7.4999999999999997E-2</v>
      </c>
      <c r="L231" s="26">
        <v>0</v>
      </c>
      <c r="M231" s="26">
        <v>4.5</v>
      </c>
      <c r="N231" s="27" t="e">
        <f>MAX(0,F231-H231-#REF!)*J231/1000000 + H231*K231/1000000 +#REF!* L231/1000000</f>
        <v>#REF!</v>
      </c>
      <c r="O231" s="27">
        <f t="shared" si="9"/>
        <v>6.3E-5</v>
      </c>
      <c r="P231" s="27" t="e">
        <f t="shared" si="10"/>
        <v>#REF!</v>
      </c>
      <c r="Q231" s="25" t="s">
        <v>122</v>
      </c>
      <c r="R231" s="25" t="s">
        <v>108</v>
      </c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</row>
    <row r="232" spans="1:45" ht="44" customHeight="1">
      <c r="A232" s="22" t="s">
        <v>24</v>
      </c>
      <c r="B232" s="23" t="s">
        <v>103</v>
      </c>
      <c r="C232" s="22" t="s">
        <v>121</v>
      </c>
      <c r="D232" s="22" t="s">
        <v>110</v>
      </c>
      <c r="E232" s="23" t="s">
        <v>106</v>
      </c>
      <c r="F232" s="23">
        <v>2734</v>
      </c>
      <c r="G232" s="23">
        <v>153</v>
      </c>
      <c r="H232" s="23">
        <v>0</v>
      </c>
      <c r="I232" s="23">
        <v>2887</v>
      </c>
      <c r="J232" s="23">
        <v>0.75</v>
      </c>
      <c r="K232" s="23">
        <v>7.4999999999999997E-2</v>
      </c>
      <c r="L232" s="23">
        <v>0</v>
      </c>
      <c r="M232" s="23">
        <v>4.5</v>
      </c>
      <c r="N232" s="24" t="e">
        <f>MAX(0,F232-H232-#REF!)*J232/1000000 + H232*K232/1000000 +#REF!* L232/1000000</f>
        <v>#REF!</v>
      </c>
      <c r="O232" s="24">
        <f t="shared" si="9"/>
        <v>6.8849999999999998E-4</v>
      </c>
      <c r="P232" s="24" t="e">
        <f t="shared" si="10"/>
        <v>#REF!</v>
      </c>
      <c r="Q232" s="22" t="s">
        <v>122</v>
      </c>
      <c r="R232" s="22" t="s">
        <v>108</v>
      </c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</row>
    <row r="233" spans="1:45" ht="44" customHeight="1">
      <c r="A233" s="25" t="s">
        <v>24</v>
      </c>
      <c r="B233" s="26" t="s">
        <v>103</v>
      </c>
      <c r="C233" s="25" t="s">
        <v>121</v>
      </c>
      <c r="D233" s="25" t="s">
        <v>110</v>
      </c>
      <c r="E233" s="26" t="s">
        <v>106</v>
      </c>
      <c r="F233" s="26">
        <v>2664</v>
      </c>
      <c r="G233" s="26">
        <v>148</v>
      </c>
      <c r="H233" s="26">
        <v>0</v>
      </c>
      <c r="I233" s="26">
        <v>2812</v>
      </c>
      <c r="J233" s="26">
        <v>0.75</v>
      </c>
      <c r="K233" s="26">
        <v>7.4999999999999997E-2</v>
      </c>
      <c r="L233" s="26">
        <v>0</v>
      </c>
      <c r="M233" s="26">
        <v>4.5</v>
      </c>
      <c r="N233" s="27" t="e">
        <f>MAX(0,F233-H233-#REF!)*J233/1000000 + H233*K233/1000000 +#REF!* L233/1000000</f>
        <v>#REF!</v>
      </c>
      <c r="O233" s="27">
        <f t="shared" si="9"/>
        <v>6.6600000000000003E-4</v>
      </c>
      <c r="P233" s="27" t="e">
        <f t="shared" si="10"/>
        <v>#REF!</v>
      </c>
      <c r="Q233" s="25" t="s">
        <v>122</v>
      </c>
      <c r="R233" s="25" t="s">
        <v>108</v>
      </c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</row>
    <row r="234" spans="1:45" ht="44" customHeight="1">
      <c r="A234" s="22" t="s">
        <v>24</v>
      </c>
      <c r="B234" s="23" t="s">
        <v>103</v>
      </c>
      <c r="C234" s="22" t="s">
        <v>121</v>
      </c>
      <c r="D234" s="22" t="s">
        <v>110</v>
      </c>
      <c r="E234" s="23" t="s">
        <v>106</v>
      </c>
      <c r="F234" s="23">
        <v>1472</v>
      </c>
      <c r="G234" s="23">
        <v>150</v>
      </c>
      <c r="H234" s="23">
        <v>0</v>
      </c>
      <c r="I234" s="23">
        <v>1622</v>
      </c>
      <c r="J234" s="23">
        <v>0.75</v>
      </c>
      <c r="K234" s="23">
        <v>7.4999999999999997E-2</v>
      </c>
      <c r="L234" s="23">
        <v>0</v>
      </c>
      <c r="M234" s="23">
        <v>4.5</v>
      </c>
      <c r="N234" s="24" t="e">
        <f>MAX(0,F234-H234-#REF!)*J234/1000000 + H234*K234/1000000 +#REF!* L234/1000000</f>
        <v>#REF!</v>
      </c>
      <c r="O234" s="24">
        <f t="shared" si="9"/>
        <v>6.7500000000000004E-4</v>
      </c>
      <c r="P234" s="24" t="e">
        <f t="shared" si="10"/>
        <v>#REF!</v>
      </c>
      <c r="Q234" s="22" t="s">
        <v>122</v>
      </c>
      <c r="R234" s="22" t="s">
        <v>108</v>
      </c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</row>
    <row r="235" spans="1:45" ht="44" customHeight="1">
      <c r="A235" s="25" t="s">
        <v>24</v>
      </c>
      <c r="B235" s="26" t="s">
        <v>103</v>
      </c>
      <c r="C235" s="25" t="s">
        <v>121</v>
      </c>
      <c r="D235" s="25" t="s">
        <v>110</v>
      </c>
      <c r="E235" s="26" t="s">
        <v>106</v>
      </c>
      <c r="F235" s="26">
        <v>7419</v>
      </c>
      <c r="G235" s="26">
        <v>320</v>
      </c>
      <c r="H235" s="26">
        <v>0</v>
      </c>
      <c r="I235" s="26">
        <v>7739</v>
      </c>
      <c r="J235" s="26">
        <v>0.75</v>
      </c>
      <c r="K235" s="26">
        <v>7.4999999999999997E-2</v>
      </c>
      <c r="L235" s="26">
        <v>0</v>
      </c>
      <c r="M235" s="26">
        <v>4.5</v>
      </c>
      <c r="N235" s="27" t="e">
        <f>MAX(0,F235-H235-#REF!)*J235/1000000 + H235*K235/1000000 +#REF!* L235/1000000</f>
        <v>#REF!</v>
      </c>
      <c r="O235" s="27">
        <f t="shared" si="9"/>
        <v>1.4400000000000001E-3</v>
      </c>
      <c r="P235" s="27" t="e">
        <f t="shared" si="10"/>
        <v>#REF!</v>
      </c>
      <c r="Q235" s="25" t="s">
        <v>122</v>
      </c>
      <c r="R235" s="25" t="s">
        <v>108</v>
      </c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</row>
    <row r="236" spans="1:45" ht="44" customHeight="1">
      <c r="A236" s="22" t="s">
        <v>24</v>
      </c>
      <c r="B236" s="23" t="s">
        <v>103</v>
      </c>
      <c r="C236" s="22" t="s">
        <v>121</v>
      </c>
      <c r="D236" s="22" t="s">
        <v>110</v>
      </c>
      <c r="E236" s="23" t="s">
        <v>106</v>
      </c>
      <c r="F236" s="23">
        <v>5212</v>
      </c>
      <c r="G236" s="23">
        <v>384</v>
      </c>
      <c r="H236" s="23">
        <v>0</v>
      </c>
      <c r="I236" s="23">
        <v>5596</v>
      </c>
      <c r="J236" s="23">
        <v>0.75</v>
      </c>
      <c r="K236" s="23">
        <v>7.4999999999999997E-2</v>
      </c>
      <c r="L236" s="23">
        <v>0</v>
      </c>
      <c r="M236" s="23">
        <v>4.5</v>
      </c>
      <c r="N236" s="24" t="e">
        <f>MAX(0,F236-H236-#REF!)*J236/1000000 + H236*K236/1000000 +#REF!* L236/1000000</f>
        <v>#REF!</v>
      </c>
      <c r="O236" s="24">
        <f t="shared" si="9"/>
        <v>1.7279999999999999E-3</v>
      </c>
      <c r="P236" s="24" t="e">
        <f t="shared" si="10"/>
        <v>#REF!</v>
      </c>
      <c r="Q236" s="22" t="s">
        <v>122</v>
      </c>
      <c r="R236" s="22" t="s">
        <v>108</v>
      </c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</row>
    <row r="237" spans="1:45" ht="44" customHeight="1">
      <c r="A237" s="25" t="s">
        <v>24</v>
      </c>
      <c r="B237" s="26" t="s">
        <v>103</v>
      </c>
      <c r="C237" s="25" t="s">
        <v>121</v>
      </c>
      <c r="D237" s="25" t="s">
        <v>110</v>
      </c>
      <c r="E237" s="26" t="s">
        <v>106</v>
      </c>
      <c r="F237" s="26">
        <v>2475</v>
      </c>
      <c r="G237" s="26">
        <v>159</v>
      </c>
      <c r="H237" s="26">
        <v>0</v>
      </c>
      <c r="I237" s="26">
        <v>2634</v>
      </c>
      <c r="J237" s="26">
        <v>0.75</v>
      </c>
      <c r="K237" s="26">
        <v>7.4999999999999997E-2</v>
      </c>
      <c r="L237" s="26">
        <v>0</v>
      </c>
      <c r="M237" s="26">
        <v>4.5</v>
      </c>
      <c r="N237" s="27" t="e">
        <f>MAX(0,F237-H237-#REF!)*J237/1000000 + H237*K237/1000000 +#REF!* L237/1000000</f>
        <v>#REF!</v>
      </c>
      <c r="O237" s="27">
        <f t="shared" si="9"/>
        <v>7.1549999999999999E-4</v>
      </c>
      <c r="P237" s="27" t="e">
        <f t="shared" si="10"/>
        <v>#REF!</v>
      </c>
      <c r="Q237" s="25" t="s">
        <v>122</v>
      </c>
      <c r="R237" s="25" t="s">
        <v>108</v>
      </c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</row>
    <row r="238" spans="1:45" ht="44" customHeight="1">
      <c r="A238" s="22" t="s">
        <v>24</v>
      </c>
      <c r="B238" s="23" t="s">
        <v>103</v>
      </c>
      <c r="C238" s="22" t="s">
        <v>121</v>
      </c>
      <c r="D238" s="22" t="s">
        <v>110</v>
      </c>
      <c r="E238" s="23" t="s">
        <v>106</v>
      </c>
      <c r="F238" s="23">
        <v>2566</v>
      </c>
      <c r="G238" s="23">
        <v>311</v>
      </c>
      <c r="H238" s="23">
        <v>0</v>
      </c>
      <c r="I238" s="23">
        <v>2877</v>
      </c>
      <c r="J238" s="23">
        <v>0.75</v>
      </c>
      <c r="K238" s="23">
        <v>7.4999999999999997E-2</v>
      </c>
      <c r="L238" s="23">
        <v>0</v>
      </c>
      <c r="M238" s="23">
        <v>4.5</v>
      </c>
      <c r="N238" s="24" t="e">
        <f>MAX(0,F238-H238-#REF!)*J238/1000000 + H238*K238/1000000 +#REF!* L238/1000000</f>
        <v>#REF!</v>
      </c>
      <c r="O238" s="24">
        <f t="shared" si="9"/>
        <v>1.3994999999999999E-3</v>
      </c>
      <c r="P238" s="24" t="e">
        <f t="shared" si="10"/>
        <v>#REF!</v>
      </c>
      <c r="Q238" s="22" t="s">
        <v>122</v>
      </c>
      <c r="R238" s="22" t="s">
        <v>108</v>
      </c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</row>
    <row r="239" spans="1:45" ht="44" customHeight="1">
      <c r="A239" s="25" t="s">
        <v>24</v>
      </c>
      <c r="B239" s="26" t="s">
        <v>103</v>
      </c>
      <c r="C239" s="25" t="s">
        <v>121</v>
      </c>
      <c r="D239" s="25" t="s">
        <v>110</v>
      </c>
      <c r="E239" s="26" t="s">
        <v>106</v>
      </c>
      <c r="F239" s="26">
        <v>4447</v>
      </c>
      <c r="G239" s="26">
        <v>549</v>
      </c>
      <c r="H239" s="26">
        <v>0</v>
      </c>
      <c r="I239" s="26">
        <v>4996</v>
      </c>
      <c r="J239" s="26">
        <v>0.75</v>
      </c>
      <c r="K239" s="26">
        <v>7.4999999999999997E-2</v>
      </c>
      <c r="L239" s="26">
        <v>0</v>
      </c>
      <c r="M239" s="26">
        <v>4.5</v>
      </c>
      <c r="N239" s="27" t="e">
        <f>MAX(0,F239-H239-#REF!)*J239/1000000 + H239*K239/1000000 +#REF!* L239/1000000</f>
        <v>#REF!</v>
      </c>
      <c r="O239" s="27">
        <f t="shared" si="9"/>
        <v>2.4705E-3</v>
      </c>
      <c r="P239" s="27" t="e">
        <f t="shared" si="10"/>
        <v>#REF!</v>
      </c>
      <c r="Q239" s="25" t="s">
        <v>122</v>
      </c>
      <c r="R239" s="25" t="s">
        <v>108</v>
      </c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</row>
    <row r="240" spans="1:45" ht="44" customHeight="1">
      <c r="A240" s="22" t="s">
        <v>24</v>
      </c>
      <c r="B240" s="23" t="s">
        <v>103</v>
      </c>
      <c r="C240" s="22" t="s">
        <v>121</v>
      </c>
      <c r="D240" s="22" t="s">
        <v>111</v>
      </c>
      <c r="E240" s="23" t="s">
        <v>106</v>
      </c>
      <c r="F240" s="23">
        <v>1300</v>
      </c>
      <c r="G240" s="23">
        <v>14</v>
      </c>
      <c r="H240" s="23">
        <v>0</v>
      </c>
      <c r="I240" s="23">
        <v>1314</v>
      </c>
      <c r="J240" s="23">
        <v>0.75</v>
      </c>
      <c r="K240" s="23">
        <v>7.4999999999999997E-2</v>
      </c>
      <c r="L240" s="23">
        <v>0</v>
      </c>
      <c r="M240" s="23">
        <v>4.5</v>
      </c>
      <c r="N240" s="24" t="e">
        <f>MAX(0,F240-H240-#REF!)*J240/1000000 + H240*K240/1000000 +#REF!* L240/1000000</f>
        <v>#REF!</v>
      </c>
      <c r="O240" s="24">
        <f t="shared" si="9"/>
        <v>6.3E-5</v>
      </c>
      <c r="P240" s="24" t="e">
        <f t="shared" si="10"/>
        <v>#REF!</v>
      </c>
      <c r="Q240" s="22" t="s">
        <v>122</v>
      </c>
      <c r="R240" s="22" t="s">
        <v>108</v>
      </c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</row>
    <row r="241" spans="1:45" ht="44" customHeight="1">
      <c r="A241" s="25" t="s">
        <v>24</v>
      </c>
      <c r="B241" s="26" t="s">
        <v>103</v>
      </c>
      <c r="C241" s="25" t="s">
        <v>121</v>
      </c>
      <c r="D241" s="25" t="s">
        <v>111</v>
      </c>
      <c r="E241" s="26" t="s">
        <v>106</v>
      </c>
      <c r="F241" s="26">
        <v>3979</v>
      </c>
      <c r="G241" s="26">
        <v>14</v>
      </c>
      <c r="H241" s="26">
        <v>0</v>
      </c>
      <c r="I241" s="26">
        <v>3993</v>
      </c>
      <c r="J241" s="26">
        <v>0.75</v>
      </c>
      <c r="K241" s="26">
        <v>7.4999999999999997E-2</v>
      </c>
      <c r="L241" s="26">
        <v>0</v>
      </c>
      <c r="M241" s="26">
        <v>4.5</v>
      </c>
      <c r="N241" s="27" t="e">
        <f>MAX(0,F241-H241-#REF!)*J241/1000000 + H241*K241/1000000 +#REF!* L241/1000000</f>
        <v>#REF!</v>
      </c>
      <c r="O241" s="27">
        <f t="shared" si="9"/>
        <v>6.3E-5</v>
      </c>
      <c r="P241" s="27" t="e">
        <f t="shared" si="10"/>
        <v>#REF!</v>
      </c>
      <c r="Q241" s="25" t="s">
        <v>122</v>
      </c>
      <c r="R241" s="25" t="s">
        <v>108</v>
      </c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</row>
    <row r="242" spans="1:45" ht="44" customHeight="1">
      <c r="A242" s="22" t="s">
        <v>24</v>
      </c>
      <c r="B242" s="23" t="s">
        <v>103</v>
      </c>
      <c r="C242" s="22" t="s">
        <v>121</v>
      </c>
      <c r="D242" s="22" t="s">
        <v>111</v>
      </c>
      <c r="E242" s="23" t="s">
        <v>106</v>
      </c>
      <c r="F242" s="23">
        <v>4744</v>
      </c>
      <c r="G242" s="23">
        <v>14</v>
      </c>
      <c r="H242" s="23">
        <v>0</v>
      </c>
      <c r="I242" s="23">
        <v>4758</v>
      </c>
      <c r="J242" s="23">
        <v>0.75</v>
      </c>
      <c r="K242" s="23">
        <v>7.4999999999999997E-2</v>
      </c>
      <c r="L242" s="23">
        <v>0</v>
      </c>
      <c r="M242" s="23">
        <v>4.5</v>
      </c>
      <c r="N242" s="24" t="e">
        <f>MAX(0,F242-H242-#REF!)*J242/1000000 + H242*K242/1000000 +#REF!* L242/1000000</f>
        <v>#REF!</v>
      </c>
      <c r="O242" s="24">
        <f t="shared" si="9"/>
        <v>6.3E-5</v>
      </c>
      <c r="P242" s="24" t="e">
        <f t="shared" si="10"/>
        <v>#REF!</v>
      </c>
      <c r="Q242" s="22" t="s">
        <v>122</v>
      </c>
      <c r="R242" s="22" t="s">
        <v>108</v>
      </c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</row>
    <row r="243" spans="1:45" ht="44" customHeight="1">
      <c r="A243" s="25" t="s">
        <v>24</v>
      </c>
      <c r="B243" s="26" t="s">
        <v>103</v>
      </c>
      <c r="C243" s="25" t="s">
        <v>121</v>
      </c>
      <c r="D243" s="25" t="s">
        <v>111</v>
      </c>
      <c r="E243" s="26" t="s">
        <v>106</v>
      </c>
      <c r="F243" s="26">
        <v>6951</v>
      </c>
      <c r="G243" s="26">
        <v>14</v>
      </c>
      <c r="H243" s="26">
        <v>0</v>
      </c>
      <c r="I243" s="26">
        <v>6965</v>
      </c>
      <c r="J243" s="26">
        <v>0.75</v>
      </c>
      <c r="K243" s="26">
        <v>7.4999999999999997E-2</v>
      </c>
      <c r="L243" s="26">
        <v>0</v>
      </c>
      <c r="M243" s="26">
        <v>4.5</v>
      </c>
      <c r="N243" s="27" t="e">
        <f>MAX(0,F243-H243-#REF!)*J243/1000000 + H243*K243/1000000 +#REF!* L243/1000000</f>
        <v>#REF!</v>
      </c>
      <c r="O243" s="27">
        <f t="shared" si="9"/>
        <v>6.3E-5</v>
      </c>
      <c r="P243" s="27" t="e">
        <f t="shared" si="10"/>
        <v>#REF!</v>
      </c>
      <c r="Q243" s="25" t="s">
        <v>122</v>
      </c>
      <c r="R243" s="25" t="s">
        <v>108</v>
      </c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</row>
    <row r="244" spans="1:45" ht="44" customHeight="1">
      <c r="A244" s="22" t="s">
        <v>24</v>
      </c>
      <c r="B244" s="23" t="s">
        <v>103</v>
      </c>
      <c r="C244" s="22" t="s">
        <v>121</v>
      </c>
      <c r="D244" s="22" t="s">
        <v>111</v>
      </c>
      <c r="E244" s="23" t="s">
        <v>106</v>
      </c>
      <c r="F244" s="23">
        <v>1772</v>
      </c>
      <c r="G244" s="23">
        <v>14</v>
      </c>
      <c r="H244" s="23">
        <v>0</v>
      </c>
      <c r="I244" s="23">
        <v>1786</v>
      </c>
      <c r="J244" s="23">
        <v>0.75</v>
      </c>
      <c r="K244" s="23">
        <v>7.4999999999999997E-2</v>
      </c>
      <c r="L244" s="23">
        <v>0</v>
      </c>
      <c r="M244" s="23">
        <v>4.5</v>
      </c>
      <c r="N244" s="24" t="e">
        <f>MAX(0,F244-H244-#REF!)*J244/1000000 + H244*K244/1000000 +#REF!* L244/1000000</f>
        <v>#REF!</v>
      </c>
      <c r="O244" s="24">
        <f t="shared" si="9"/>
        <v>6.3E-5</v>
      </c>
      <c r="P244" s="24" t="e">
        <f t="shared" si="10"/>
        <v>#REF!</v>
      </c>
      <c r="Q244" s="22" t="s">
        <v>122</v>
      </c>
      <c r="R244" s="22" t="s">
        <v>108</v>
      </c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</row>
    <row r="245" spans="1:45" ht="44" customHeight="1">
      <c r="A245" s="25" t="s">
        <v>24</v>
      </c>
      <c r="B245" s="26" t="s">
        <v>103</v>
      </c>
      <c r="C245" s="25" t="s">
        <v>121</v>
      </c>
      <c r="D245" s="25" t="s">
        <v>111</v>
      </c>
      <c r="E245" s="26" t="s">
        <v>106</v>
      </c>
      <c r="F245" s="26">
        <v>1004</v>
      </c>
      <c r="G245" s="26">
        <v>14</v>
      </c>
      <c r="H245" s="26">
        <v>0</v>
      </c>
      <c r="I245" s="26">
        <v>1018</v>
      </c>
      <c r="J245" s="26">
        <v>0.75</v>
      </c>
      <c r="K245" s="26">
        <v>7.4999999999999997E-2</v>
      </c>
      <c r="L245" s="26">
        <v>0</v>
      </c>
      <c r="M245" s="26">
        <v>4.5</v>
      </c>
      <c r="N245" s="27" t="e">
        <f>MAX(0,F245-H245-#REF!)*J245/1000000 + H245*K245/1000000 +#REF!* L245/1000000</f>
        <v>#REF!</v>
      </c>
      <c r="O245" s="27">
        <f t="shared" si="9"/>
        <v>6.3E-5</v>
      </c>
      <c r="P245" s="27" t="e">
        <f t="shared" si="10"/>
        <v>#REF!</v>
      </c>
      <c r="Q245" s="25" t="s">
        <v>122</v>
      </c>
      <c r="R245" s="25" t="s">
        <v>108</v>
      </c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</row>
    <row r="246" spans="1:45" ht="44" customHeight="1">
      <c r="A246" s="22" t="s">
        <v>24</v>
      </c>
      <c r="B246" s="23" t="s">
        <v>103</v>
      </c>
      <c r="C246" s="22" t="s">
        <v>121</v>
      </c>
      <c r="D246" s="22" t="s">
        <v>111</v>
      </c>
      <c r="E246" s="23" t="s">
        <v>106</v>
      </c>
      <c r="F246" s="23">
        <v>1264</v>
      </c>
      <c r="G246" s="23">
        <v>14</v>
      </c>
      <c r="H246" s="23">
        <v>0</v>
      </c>
      <c r="I246" s="23">
        <v>1278</v>
      </c>
      <c r="J246" s="23">
        <v>0.75</v>
      </c>
      <c r="K246" s="23">
        <v>7.4999999999999997E-2</v>
      </c>
      <c r="L246" s="23">
        <v>0</v>
      </c>
      <c r="M246" s="23">
        <v>4.5</v>
      </c>
      <c r="N246" s="24" t="e">
        <f>MAX(0,F246-H246-#REF!)*J246/1000000 + H246*K246/1000000 +#REF!* L246/1000000</f>
        <v>#REF!</v>
      </c>
      <c r="O246" s="24">
        <f t="shared" si="9"/>
        <v>6.3E-5</v>
      </c>
      <c r="P246" s="24" t="e">
        <f t="shared" si="10"/>
        <v>#REF!</v>
      </c>
      <c r="Q246" s="22" t="s">
        <v>122</v>
      </c>
      <c r="R246" s="22" t="s">
        <v>108</v>
      </c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</row>
    <row r="247" spans="1:45" ht="44" customHeight="1">
      <c r="A247" s="25" t="s">
        <v>24</v>
      </c>
      <c r="B247" s="26" t="s">
        <v>103</v>
      </c>
      <c r="C247" s="25" t="s">
        <v>121</v>
      </c>
      <c r="D247" s="25" t="s">
        <v>111</v>
      </c>
      <c r="E247" s="26" t="s">
        <v>106</v>
      </c>
      <c r="F247" s="26">
        <v>1312</v>
      </c>
      <c r="G247" s="26">
        <v>14</v>
      </c>
      <c r="H247" s="26">
        <v>0</v>
      </c>
      <c r="I247" s="26">
        <v>1326</v>
      </c>
      <c r="J247" s="26">
        <v>0.75</v>
      </c>
      <c r="K247" s="26">
        <v>7.4999999999999997E-2</v>
      </c>
      <c r="L247" s="26">
        <v>0</v>
      </c>
      <c r="M247" s="26">
        <v>4.5</v>
      </c>
      <c r="N247" s="27" t="e">
        <f>MAX(0,F247-H247-#REF!)*J247/1000000 + H247*K247/1000000 +#REF!* L247/1000000</f>
        <v>#REF!</v>
      </c>
      <c r="O247" s="27">
        <f t="shared" si="9"/>
        <v>6.3E-5</v>
      </c>
      <c r="P247" s="27" t="e">
        <f t="shared" si="10"/>
        <v>#REF!</v>
      </c>
      <c r="Q247" s="25" t="s">
        <v>122</v>
      </c>
      <c r="R247" s="25" t="s">
        <v>108</v>
      </c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</row>
    <row r="248" spans="1:45" ht="44" customHeight="1">
      <c r="A248" s="22" t="s">
        <v>24</v>
      </c>
      <c r="B248" s="23" t="s">
        <v>103</v>
      </c>
      <c r="C248" s="22" t="s">
        <v>121</v>
      </c>
      <c r="D248" s="22" t="s">
        <v>111</v>
      </c>
      <c r="E248" s="23" t="s">
        <v>106</v>
      </c>
      <c r="F248" s="23">
        <v>2266</v>
      </c>
      <c r="G248" s="23">
        <v>14</v>
      </c>
      <c r="H248" s="23">
        <v>0</v>
      </c>
      <c r="I248" s="23">
        <v>2280</v>
      </c>
      <c r="J248" s="23">
        <v>0.75</v>
      </c>
      <c r="K248" s="23">
        <v>7.4999999999999997E-2</v>
      </c>
      <c r="L248" s="23">
        <v>0</v>
      </c>
      <c r="M248" s="23">
        <v>4.5</v>
      </c>
      <c r="N248" s="24" t="e">
        <f>MAX(0,F248-H248-#REF!)*J248/1000000 + H248*K248/1000000 +#REF!* L248/1000000</f>
        <v>#REF!</v>
      </c>
      <c r="O248" s="24">
        <f t="shared" si="9"/>
        <v>6.3E-5</v>
      </c>
      <c r="P248" s="24" t="e">
        <f t="shared" si="10"/>
        <v>#REF!</v>
      </c>
      <c r="Q248" s="22" t="s">
        <v>122</v>
      </c>
      <c r="R248" s="22" t="s">
        <v>108</v>
      </c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</row>
    <row r="249" spans="1:45" ht="44" customHeight="1">
      <c r="A249" s="25" t="s">
        <v>24</v>
      </c>
      <c r="B249" s="26" t="s">
        <v>103</v>
      </c>
      <c r="C249" s="25" t="s">
        <v>121</v>
      </c>
      <c r="D249" s="25" t="s">
        <v>111</v>
      </c>
      <c r="E249" s="26" t="s">
        <v>106</v>
      </c>
      <c r="F249" s="26">
        <v>2196</v>
      </c>
      <c r="G249" s="26">
        <v>14</v>
      </c>
      <c r="H249" s="26">
        <v>0</v>
      </c>
      <c r="I249" s="26">
        <v>2210</v>
      </c>
      <c r="J249" s="26">
        <v>0.75</v>
      </c>
      <c r="K249" s="26">
        <v>7.4999999999999997E-2</v>
      </c>
      <c r="L249" s="26">
        <v>0</v>
      </c>
      <c r="M249" s="26">
        <v>4.5</v>
      </c>
      <c r="N249" s="27" t="e">
        <f>MAX(0,F249-H249-#REF!)*J249/1000000 + H249*K249/1000000 +#REF!* L249/1000000</f>
        <v>#REF!</v>
      </c>
      <c r="O249" s="27">
        <f t="shared" si="9"/>
        <v>6.3E-5</v>
      </c>
      <c r="P249" s="27" t="e">
        <f t="shared" si="10"/>
        <v>#REF!</v>
      </c>
      <c r="Q249" s="25" t="s">
        <v>122</v>
      </c>
      <c r="R249" s="25" t="s">
        <v>108</v>
      </c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</row>
    <row r="250" spans="1:45" ht="44" customHeight="1">
      <c r="A250" s="22" t="s">
        <v>24</v>
      </c>
      <c r="B250" s="23" t="s">
        <v>103</v>
      </c>
      <c r="C250" s="22" t="s">
        <v>121</v>
      </c>
      <c r="D250" s="22" t="s">
        <v>111</v>
      </c>
      <c r="E250" s="23" t="s">
        <v>106</v>
      </c>
      <c r="F250" s="23">
        <v>2098</v>
      </c>
      <c r="G250" s="23">
        <v>192</v>
      </c>
      <c r="H250" s="23">
        <v>0</v>
      </c>
      <c r="I250" s="23">
        <v>2290</v>
      </c>
      <c r="J250" s="23">
        <v>0.75</v>
      </c>
      <c r="K250" s="23">
        <v>7.4999999999999997E-2</v>
      </c>
      <c r="L250" s="23">
        <v>0</v>
      </c>
      <c r="M250" s="23">
        <v>4.5</v>
      </c>
      <c r="N250" s="24" t="e">
        <f>MAX(0,F250-H250-#REF!)*J250/1000000 + H250*K250/1000000 +#REF!* L250/1000000</f>
        <v>#REF!</v>
      </c>
      <c r="O250" s="24">
        <f t="shared" si="9"/>
        <v>8.6399999999999997E-4</v>
      </c>
      <c r="P250" s="24" t="e">
        <f t="shared" si="10"/>
        <v>#REF!</v>
      </c>
      <c r="Q250" s="22" t="s">
        <v>122</v>
      </c>
      <c r="R250" s="22" t="s">
        <v>108</v>
      </c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</row>
    <row r="251" spans="1:45" ht="44" customHeight="1">
      <c r="A251" s="25" t="s">
        <v>24</v>
      </c>
      <c r="B251" s="26" t="s">
        <v>103</v>
      </c>
      <c r="C251" s="25" t="s">
        <v>121</v>
      </c>
      <c r="D251" s="25" t="s">
        <v>111</v>
      </c>
      <c r="E251" s="26" t="s">
        <v>106</v>
      </c>
      <c r="F251" s="26">
        <v>2007</v>
      </c>
      <c r="G251" s="26">
        <v>14</v>
      </c>
      <c r="H251" s="26">
        <v>0</v>
      </c>
      <c r="I251" s="26">
        <v>2021</v>
      </c>
      <c r="J251" s="26">
        <v>0.75</v>
      </c>
      <c r="K251" s="26">
        <v>7.4999999999999997E-2</v>
      </c>
      <c r="L251" s="26">
        <v>0</v>
      </c>
      <c r="M251" s="26">
        <v>4.5</v>
      </c>
      <c r="N251" s="27" t="e">
        <f>MAX(0,F251-H251-#REF!)*J251/1000000 + H251*K251/1000000 +#REF!* L251/1000000</f>
        <v>#REF!</v>
      </c>
      <c r="O251" s="27">
        <f t="shared" si="9"/>
        <v>6.3E-5</v>
      </c>
      <c r="P251" s="27" t="e">
        <f t="shared" si="10"/>
        <v>#REF!</v>
      </c>
      <c r="Q251" s="25" t="s">
        <v>122</v>
      </c>
      <c r="R251" s="25" t="s">
        <v>108</v>
      </c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</row>
    <row r="252" spans="1:45" ht="44" customHeight="1">
      <c r="A252" s="22" t="s">
        <v>24</v>
      </c>
      <c r="B252" s="23" t="s">
        <v>103</v>
      </c>
      <c r="C252" s="22" t="s">
        <v>121</v>
      </c>
      <c r="D252" s="22" t="s">
        <v>112</v>
      </c>
      <c r="E252" s="23" t="s">
        <v>106</v>
      </c>
      <c r="F252" s="23">
        <v>2009</v>
      </c>
      <c r="G252" s="23">
        <v>195</v>
      </c>
      <c r="H252" s="23">
        <v>0</v>
      </c>
      <c r="I252" s="23">
        <v>2204</v>
      </c>
      <c r="J252" s="23">
        <v>0.75</v>
      </c>
      <c r="K252" s="23">
        <v>7.4999999999999997E-2</v>
      </c>
      <c r="L252" s="23">
        <v>0</v>
      </c>
      <c r="M252" s="23">
        <v>4.5</v>
      </c>
      <c r="N252" s="24" t="e">
        <f>MAX(0,F252-H252-#REF!)*J252/1000000 + H252*K252/1000000 +#REF!* L252/1000000</f>
        <v>#REF!</v>
      </c>
      <c r="O252" s="24">
        <f t="shared" si="9"/>
        <v>8.7750000000000002E-4</v>
      </c>
      <c r="P252" s="24" t="e">
        <f t="shared" si="10"/>
        <v>#REF!</v>
      </c>
      <c r="Q252" s="22" t="s">
        <v>122</v>
      </c>
      <c r="R252" s="22" t="s">
        <v>108</v>
      </c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</row>
    <row r="253" spans="1:45" ht="44" customHeight="1">
      <c r="A253" s="25" t="s">
        <v>24</v>
      </c>
      <c r="B253" s="26" t="s">
        <v>103</v>
      </c>
      <c r="C253" s="25" t="s">
        <v>121</v>
      </c>
      <c r="D253" s="25" t="s">
        <v>112</v>
      </c>
      <c r="E253" s="26" t="s">
        <v>106</v>
      </c>
      <c r="F253" s="26">
        <v>1270</v>
      </c>
      <c r="G253" s="26">
        <v>182</v>
      </c>
      <c r="H253" s="26">
        <v>0</v>
      </c>
      <c r="I253" s="26">
        <v>1452</v>
      </c>
      <c r="J253" s="26">
        <v>0.75</v>
      </c>
      <c r="K253" s="26">
        <v>7.4999999999999997E-2</v>
      </c>
      <c r="L253" s="26">
        <v>0</v>
      </c>
      <c r="M253" s="26">
        <v>4.5</v>
      </c>
      <c r="N253" s="27" t="e">
        <f>MAX(0,F253-H253-#REF!)*J253/1000000 + H253*K253/1000000 +#REF!* L253/1000000</f>
        <v>#REF!</v>
      </c>
      <c r="O253" s="27">
        <f t="shared" si="9"/>
        <v>8.1899999999999996E-4</v>
      </c>
      <c r="P253" s="27" t="e">
        <f t="shared" si="10"/>
        <v>#REF!</v>
      </c>
      <c r="Q253" s="25" t="s">
        <v>122</v>
      </c>
      <c r="R253" s="25" t="s">
        <v>108</v>
      </c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</row>
    <row r="254" spans="1:45" ht="44" customHeight="1">
      <c r="A254" s="22" t="s">
        <v>24</v>
      </c>
      <c r="B254" s="23" t="s">
        <v>103</v>
      </c>
      <c r="C254" s="22" t="s">
        <v>121</v>
      </c>
      <c r="D254" s="22" t="s">
        <v>112</v>
      </c>
      <c r="E254" s="23" t="s">
        <v>106</v>
      </c>
      <c r="F254" s="23">
        <v>1080</v>
      </c>
      <c r="G254" s="23">
        <v>222</v>
      </c>
      <c r="H254" s="23">
        <v>0</v>
      </c>
      <c r="I254" s="23">
        <v>1302</v>
      </c>
      <c r="J254" s="23">
        <v>0.75</v>
      </c>
      <c r="K254" s="23">
        <v>7.4999999999999997E-2</v>
      </c>
      <c r="L254" s="23">
        <v>0</v>
      </c>
      <c r="M254" s="23">
        <v>4.5</v>
      </c>
      <c r="N254" s="24" t="e">
        <f>MAX(0,F254-H254-#REF!)*J254/1000000 + H254*K254/1000000 +#REF!* L254/1000000</f>
        <v>#REF!</v>
      </c>
      <c r="O254" s="24">
        <f t="shared" si="9"/>
        <v>9.990000000000001E-4</v>
      </c>
      <c r="P254" s="24" t="e">
        <f t="shared" si="10"/>
        <v>#REF!</v>
      </c>
      <c r="Q254" s="22" t="s">
        <v>122</v>
      </c>
      <c r="R254" s="22" t="s">
        <v>108</v>
      </c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</row>
    <row r="255" spans="1:45" ht="44" customHeight="1">
      <c r="A255" s="25" t="s">
        <v>24</v>
      </c>
      <c r="B255" s="26" t="s">
        <v>103</v>
      </c>
      <c r="C255" s="25" t="s">
        <v>121</v>
      </c>
      <c r="D255" s="25" t="s">
        <v>112</v>
      </c>
      <c r="E255" s="26" t="s">
        <v>106</v>
      </c>
      <c r="F255" s="26">
        <v>1786</v>
      </c>
      <c r="G255" s="26">
        <v>189</v>
      </c>
      <c r="H255" s="26">
        <v>0</v>
      </c>
      <c r="I255" s="26">
        <v>1975</v>
      </c>
      <c r="J255" s="26">
        <v>0.75</v>
      </c>
      <c r="K255" s="26">
        <v>7.4999999999999997E-2</v>
      </c>
      <c r="L255" s="26">
        <v>0</v>
      </c>
      <c r="M255" s="26">
        <v>4.5</v>
      </c>
      <c r="N255" s="27" t="e">
        <f>MAX(0,F255-H255-#REF!)*J255/1000000 + H255*K255/1000000 +#REF!* L255/1000000</f>
        <v>#REF!</v>
      </c>
      <c r="O255" s="27">
        <f t="shared" si="9"/>
        <v>8.5050000000000002E-4</v>
      </c>
      <c r="P255" s="27" t="e">
        <f t="shared" si="10"/>
        <v>#REF!</v>
      </c>
      <c r="Q255" s="25" t="s">
        <v>122</v>
      </c>
      <c r="R255" s="25" t="s">
        <v>108</v>
      </c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</row>
    <row r="256" spans="1:45" ht="44" customHeight="1">
      <c r="A256" s="22" t="s">
        <v>24</v>
      </c>
      <c r="B256" s="23" t="s">
        <v>103</v>
      </c>
      <c r="C256" s="22" t="s">
        <v>121</v>
      </c>
      <c r="D256" s="22" t="s">
        <v>112</v>
      </c>
      <c r="E256" s="23" t="s">
        <v>106</v>
      </c>
      <c r="F256" s="23">
        <v>1674</v>
      </c>
      <c r="G256" s="23">
        <v>184</v>
      </c>
      <c r="H256" s="23">
        <v>0</v>
      </c>
      <c r="I256" s="23">
        <v>1858</v>
      </c>
      <c r="J256" s="23">
        <v>0.75</v>
      </c>
      <c r="K256" s="23">
        <v>7.4999999999999997E-2</v>
      </c>
      <c r="L256" s="23">
        <v>0</v>
      </c>
      <c r="M256" s="23">
        <v>4.5</v>
      </c>
      <c r="N256" s="24" t="e">
        <f>MAX(0,F256-H256-#REF!)*J256/1000000 + H256*K256/1000000 +#REF!* L256/1000000</f>
        <v>#REF!</v>
      </c>
      <c r="O256" s="24">
        <f t="shared" si="9"/>
        <v>8.2799999999999996E-4</v>
      </c>
      <c r="P256" s="24" t="e">
        <f t="shared" si="10"/>
        <v>#REF!</v>
      </c>
      <c r="Q256" s="22" t="s">
        <v>122</v>
      </c>
      <c r="R256" s="22" t="s">
        <v>108</v>
      </c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</row>
    <row r="257" spans="1:45" ht="44" customHeight="1">
      <c r="A257" s="25" t="s">
        <v>24</v>
      </c>
      <c r="B257" s="26" t="s">
        <v>103</v>
      </c>
      <c r="C257" s="25" t="s">
        <v>121</v>
      </c>
      <c r="D257" s="25" t="s">
        <v>112</v>
      </c>
      <c r="E257" s="26" t="s">
        <v>106</v>
      </c>
      <c r="F257" s="26">
        <v>2055</v>
      </c>
      <c r="G257" s="26">
        <v>330</v>
      </c>
      <c r="H257" s="26">
        <v>0</v>
      </c>
      <c r="I257" s="26">
        <v>2385</v>
      </c>
      <c r="J257" s="26">
        <v>0.75</v>
      </c>
      <c r="K257" s="26">
        <v>7.4999999999999997E-2</v>
      </c>
      <c r="L257" s="26">
        <v>0</v>
      </c>
      <c r="M257" s="26">
        <v>4.5</v>
      </c>
      <c r="N257" s="27" t="e">
        <f>MAX(0,F257-H257-#REF!)*J257/1000000 + H257*K257/1000000 +#REF!* L257/1000000</f>
        <v>#REF!</v>
      </c>
      <c r="O257" s="27">
        <f t="shared" si="9"/>
        <v>1.485E-3</v>
      </c>
      <c r="P257" s="27" t="e">
        <f t="shared" si="10"/>
        <v>#REF!</v>
      </c>
      <c r="Q257" s="25" t="s">
        <v>122</v>
      </c>
      <c r="R257" s="25" t="s">
        <v>108</v>
      </c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</row>
    <row r="258" spans="1:45" ht="44" customHeight="1">
      <c r="A258" s="22" t="s">
        <v>24</v>
      </c>
      <c r="B258" s="23" t="s">
        <v>103</v>
      </c>
      <c r="C258" s="22" t="s">
        <v>121</v>
      </c>
      <c r="D258" s="22" t="s">
        <v>112</v>
      </c>
      <c r="E258" s="23" t="s">
        <v>106</v>
      </c>
      <c r="F258" s="23">
        <v>4114</v>
      </c>
      <c r="G258" s="23">
        <v>333</v>
      </c>
      <c r="H258" s="23">
        <v>0</v>
      </c>
      <c r="I258" s="23">
        <v>4447</v>
      </c>
      <c r="J258" s="23">
        <v>0.75</v>
      </c>
      <c r="K258" s="23">
        <v>7.4999999999999997E-2</v>
      </c>
      <c r="L258" s="23">
        <v>0</v>
      </c>
      <c r="M258" s="23">
        <v>4.5</v>
      </c>
      <c r="N258" s="24" t="e">
        <f>MAX(0,F258-H258-#REF!)*J258/1000000 + H258*K258/1000000 +#REF!* L258/1000000</f>
        <v>#REF!</v>
      </c>
      <c r="O258" s="24">
        <f t="shared" si="9"/>
        <v>1.4985E-3</v>
      </c>
      <c r="P258" s="24" t="e">
        <f t="shared" si="10"/>
        <v>#REF!</v>
      </c>
      <c r="Q258" s="22" t="s">
        <v>122</v>
      </c>
      <c r="R258" s="22" t="s">
        <v>108</v>
      </c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</row>
    <row r="259" spans="1:45" ht="44" customHeight="1">
      <c r="A259" s="25" t="s">
        <v>24</v>
      </c>
      <c r="B259" s="26" t="s">
        <v>103</v>
      </c>
      <c r="C259" s="25" t="s">
        <v>121</v>
      </c>
      <c r="D259" s="25" t="s">
        <v>112</v>
      </c>
      <c r="E259" s="26" t="s">
        <v>106</v>
      </c>
      <c r="F259" s="26">
        <v>5380</v>
      </c>
      <c r="G259" s="26">
        <v>563</v>
      </c>
      <c r="H259" s="26">
        <v>0</v>
      </c>
      <c r="I259" s="26">
        <v>5943</v>
      </c>
      <c r="J259" s="26">
        <v>0.75</v>
      </c>
      <c r="K259" s="26">
        <v>7.4999999999999997E-2</v>
      </c>
      <c r="L259" s="26">
        <v>0</v>
      </c>
      <c r="M259" s="26">
        <v>4.5</v>
      </c>
      <c r="N259" s="27" t="e">
        <f>MAX(0,F259-H259-#REF!)*J259/1000000 + H259*K259/1000000 +#REF!* L259/1000000</f>
        <v>#REF!</v>
      </c>
      <c r="O259" s="27">
        <f t="shared" si="9"/>
        <v>2.5335000000000002E-3</v>
      </c>
      <c r="P259" s="27" t="e">
        <f t="shared" si="10"/>
        <v>#REF!</v>
      </c>
      <c r="Q259" s="25" t="s">
        <v>122</v>
      </c>
      <c r="R259" s="25" t="s">
        <v>108</v>
      </c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</row>
    <row r="260" spans="1:45" ht="44" customHeight="1">
      <c r="A260" s="22" t="s">
        <v>24</v>
      </c>
      <c r="B260" s="23" t="s">
        <v>103</v>
      </c>
      <c r="C260" s="22" t="s">
        <v>121</v>
      </c>
      <c r="D260" s="22" t="s">
        <v>112</v>
      </c>
      <c r="E260" s="23" t="s">
        <v>106</v>
      </c>
      <c r="F260" s="23">
        <v>2181</v>
      </c>
      <c r="G260" s="23">
        <v>598</v>
      </c>
      <c r="H260" s="23">
        <v>0</v>
      </c>
      <c r="I260" s="23">
        <v>2779</v>
      </c>
      <c r="J260" s="23">
        <v>0.75</v>
      </c>
      <c r="K260" s="23">
        <v>7.4999999999999997E-2</v>
      </c>
      <c r="L260" s="23">
        <v>0</v>
      </c>
      <c r="M260" s="23">
        <v>4.5</v>
      </c>
      <c r="N260" s="24" t="e">
        <f>MAX(0,F260-H260-#REF!)*J260/1000000 + H260*K260/1000000 +#REF!* L260/1000000</f>
        <v>#REF!</v>
      </c>
      <c r="O260" s="24">
        <f t="shared" si="9"/>
        <v>2.6909999999999998E-3</v>
      </c>
      <c r="P260" s="24" t="e">
        <f t="shared" si="10"/>
        <v>#REF!</v>
      </c>
      <c r="Q260" s="22" t="s">
        <v>122</v>
      </c>
      <c r="R260" s="22" t="s">
        <v>108</v>
      </c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</row>
    <row r="261" spans="1:45" ht="44" customHeight="1">
      <c r="A261" s="25" t="s">
        <v>24</v>
      </c>
      <c r="B261" s="26" t="s">
        <v>103</v>
      </c>
      <c r="C261" s="25" t="s">
        <v>121</v>
      </c>
      <c r="D261" s="25" t="s">
        <v>112</v>
      </c>
      <c r="E261" s="26" t="s">
        <v>106</v>
      </c>
      <c r="F261" s="26">
        <v>3805</v>
      </c>
      <c r="G261" s="26">
        <v>820</v>
      </c>
      <c r="H261" s="26">
        <v>0</v>
      </c>
      <c r="I261" s="26">
        <v>4625</v>
      </c>
      <c r="J261" s="26">
        <v>0.75</v>
      </c>
      <c r="K261" s="26">
        <v>7.4999999999999997E-2</v>
      </c>
      <c r="L261" s="26">
        <v>0</v>
      </c>
      <c r="M261" s="26">
        <v>4.5</v>
      </c>
      <c r="N261" s="27" t="e">
        <f>MAX(0,F261-H261-#REF!)*J261/1000000 + H261*K261/1000000 +#REF!* L261/1000000</f>
        <v>#REF!</v>
      </c>
      <c r="O261" s="27">
        <f t="shared" si="9"/>
        <v>3.6900000000000001E-3</v>
      </c>
      <c r="P261" s="27" t="e">
        <f t="shared" si="10"/>
        <v>#REF!</v>
      </c>
      <c r="Q261" s="25" t="s">
        <v>122</v>
      </c>
      <c r="R261" s="25" t="s">
        <v>108</v>
      </c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</row>
    <row r="262" spans="1:45" ht="44" customHeight="1">
      <c r="A262" s="22" t="s">
        <v>25</v>
      </c>
      <c r="B262" s="23" t="s">
        <v>103</v>
      </c>
      <c r="C262" s="22" t="s">
        <v>123</v>
      </c>
      <c r="D262" s="22" t="s">
        <v>105</v>
      </c>
      <c r="E262" s="23" t="s">
        <v>106</v>
      </c>
      <c r="F262" s="23">
        <v>5400</v>
      </c>
      <c r="G262" s="23">
        <v>429</v>
      </c>
      <c r="H262" s="23">
        <v>0</v>
      </c>
      <c r="I262" s="23">
        <v>5829</v>
      </c>
      <c r="J262" s="23">
        <v>0.2</v>
      </c>
      <c r="K262" s="23">
        <v>0.02</v>
      </c>
      <c r="L262" s="23">
        <v>0</v>
      </c>
      <c r="M262" s="23">
        <v>1.25</v>
      </c>
      <c r="N262" s="24" t="e">
        <f>MAX(0,F262-H262-#REF!)*J262/1000000 + H262*K262/1000000 +#REF!* L262/1000000</f>
        <v>#REF!</v>
      </c>
      <c r="O262" s="24">
        <f t="shared" si="9"/>
        <v>5.3625000000000005E-4</v>
      </c>
      <c r="P262" s="24" t="e">
        <f t="shared" si="10"/>
        <v>#REF!</v>
      </c>
      <c r="Q262" s="22" t="s">
        <v>122</v>
      </c>
      <c r="R262" s="22" t="s">
        <v>108</v>
      </c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</row>
    <row r="263" spans="1:45" ht="44" customHeight="1">
      <c r="A263" s="25" t="s">
        <v>25</v>
      </c>
      <c r="B263" s="26" t="s">
        <v>103</v>
      </c>
      <c r="C263" s="25" t="s">
        <v>123</v>
      </c>
      <c r="D263" s="25" t="s">
        <v>109</v>
      </c>
      <c r="E263" s="26" t="s">
        <v>106</v>
      </c>
      <c r="F263" s="26">
        <v>7415</v>
      </c>
      <c r="G263" s="26">
        <v>14</v>
      </c>
      <c r="H263" s="26">
        <v>0</v>
      </c>
      <c r="I263" s="26">
        <v>7429</v>
      </c>
      <c r="J263" s="26">
        <v>0.2</v>
      </c>
      <c r="K263" s="26">
        <v>0.02</v>
      </c>
      <c r="L263" s="26">
        <v>0</v>
      </c>
      <c r="M263" s="26">
        <v>1.25</v>
      </c>
      <c r="N263" s="27" t="e">
        <f>MAX(0,F263-H263-#REF!)*J263/1000000 + H263*K263/1000000 +#REF!* L263/1000000</f>
        <v>#REF!</v>
      </c>
      <c r="O263" s="27">
        <f t="shared" si="9"/>
        <v>1.7499999999999998E-5</v>
      </c>
      <c r="P263" s="27" t="e">
        <f t="shared" si="10"/>
        <v>#REF!</v>
      </c>
      <c r="Q263" s="25" t="s">
        <v>122</v>
      </c>
      <c r="R263" s="25" t="s">
        <v>108</v>
      </c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</row>
    <row r="264" spans="1:45" ht="44" customHeight="1">
      <c r="A264" s="22" t="s">
        <v>25</v>
      </c>
      <c r="B264" s="23" t="s">
        <v>103</v>
      </c>
      <c r="C264" s="22" t="s">
        <v>123</v>
      </c>
      <c r="D264" s="22" t="s">
        <v>109</v>
      </c>
      <c r="E264" s="23" t="s">
        <v>106</v>
      </c>
      <c r="F264" s="23">
        <v>5208</v>
      </c>
      <c r="G264" s="23">
        <v>14</v>
      </c>
      <c r="H264" s="23">
        <v>0</v>
      </c>
      <c r="I264" s="23">
        <v>5222</v>
      </c>
      <c r="J264" s="23">
        <v>0.2</v>
      </c>
      <c r="K264" s="23">
        <v>0.02</v>
      </c>
      <c r="L264" s="23">
        <v>0</v>
      </c>
      <c r="M264" s="23">
        <v>1.25</v>
      </c>
      <c r="N264" s="24" t="e">
        <f>MAX(0,F264-H264-#REF!)*J264/1000000 + H264*K264/1000000 +#REF!* L264/1000000</f>
        <v>#REF!</v>
      </c>
      <c r="O264" s="24">
        <f t="shared" si="9"/>
        <v>1.7499999999999998E-5</v>
      </c>
      <c r="P264" s="24" t="e">
        <f t="shared" si="10"/>
        <v>#REF!</v>
      </c>
      <c r="Q264" s="22" t="s">
        <v>122</v>
      </c>
      <c r="R264" s="22" t="s">
        <v>108</v>
      </c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</row>
    <row r="265" spans="1:45" ht="44" customHeight="1">
      <c r="A265" s="25" t="s">
        <v>25</v>
      </c>
      <c r="B265" s="26" t="s">
        <v>103</v>
      </c>
      <c r="C265" s="25" t="s">
        <v>123</v>
      </c>
      <c r="D265" s="25" t="s">
        <v>109</v>
      </c>
      <c r="E265" s="26" t="s">
        <v>106</v>
      </c>
      <c r="F265" s="26">
        <v>2236</v>
      </c>
      <c r="G265" s="26">
        <v>14</v>
      </c>
      <c r="H265" s="26">
        <v>0</v>
      </c>
      <c r="I265" s="26">
        <v>2250</v>
      </c>
      <c r="J265" s="26">
        <v>0.2</v>
      </c>
      <c r="K265" s="26">
        <v>0.02</v>
      </c>
      <c r="L265" s="26">
        <v>0</v>
      </c>
      <c r="M265" s="26">
        <v>1.25</v>
      </c>
      <c r="N265" s="27" t="e">
        <f>MAX(0,F265-H265-#REF!)*J265/1000000 + H265*K265/1000000 +#REF!* L265/1000000</f>
        <v>#REF!</v>
      </c>
      <c r="O265" s="27">
        <f t="shared" si="9"/>
        <v>1.7499999999999998E-5</v>
      </c>
      <c r="P265" s="27" t="e">
        <f t="shared" si="10"/>
        <v>#REF!</v>
      </c>
      <c r="Q265" s="25" t="s">
        <v>122</v>
      </c>
      <c r="R265" s="25" t="s">
        <v>108</v>
      </c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</row>
    <row r="266" spans="1:45" ht="44" customHeight="1">
      <c r="A266" s="22" t="s">
        <v>25</v>
      </c>
      <c r="B266" s="23" t="s">
        <v>103</v>
      </c>
      <c r="C266" s="22" t="s">
        <v>123</v>
      </c>
      <c r="D266" s="22" t="s">
        <v>109</v>
      </c>
      <c r="E266" s="23" t="s">
        <v>106</v>
      </c>
      <c r="F266" s="23">
        <v>1764</v>
      </c>
      <c r="G266" s="23">
        <v>14</v>
      </c>
      <c r="H266" s="23">
        <v>0</v>
      </c>
      <c r="I266" s="23">
        <v>1778</v>
      </c>
      <c r="J266" s="23">
        <v>0.2</v>
      </c>
      <c r="K266" s="23">
        <v>0.02</v>
      </c>
      <c r="L266" s="23">
        <v>0</v>
      </c>
      <c r="M266" s="23">
        <v>1.25</v>
      </c>
      <c r="N266" s="24" t="e">
        <f>MAX(0,F266-H266-#REF!)*J266/1000000 + H266*K266/1000000 +#REF!* L266/1000000</f>
        <v>#REF!</v>
      </c>
      <c r="O266" s="24">
        <f t="shared" si="9"/>
        <v>1.7499999999999998E-5</v>
      </c>
      <c r="P266" s="24" t="e">
        <f t="shared" si="10"/>
        <v>#REF!</v>
      </c>
      <c r="Q266" s="22" t="s">
        <v>122</v>
      </c>
      <c r="R266" s="22" t="s">
        <v>108</v>
      </c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</row>
    <row r="267" spans="1:45" ht="44" customHeight="1">
      <c r="A267" s="25" t="s">
        <v>25</v>
      </c>
      <c r="B267" s="26" t="s">
        <v>103</v>
      </c>
      <c r="C267" s="25" t="s">
        <v>123</v>
      </c>
      <c r="D267" s="25" t="s">
        <v>109</v>
      </c>
      <c r="E267" s="26" t="s">
        <v>106</v>
      </c>
      <c r="F267" s="26">
        <v>1776</v>
      </c>
      <c r="G267" s="26">
        <v>14</v>
      </c>
      <c r="H267" s="26">
        <v>0</v>
      </c>
      <c r="I267" s="26">
        <v>1790</v>
      </c>
      <c r="J267" s="26">
        <v>0.2</v>
      </c>
      <c r="K267" s="26">
        <v>0.02</v>
      </c>
      <c r="L267" s="26">
        <v>0</v>
      </c>
      <c r="M267" s="26">
        <v>1.25</v>
      </c>
      <c r="N267" s="27" t="e">
        <f>MAX(0,F267-H267-#REF!)*J267/1000000 + H267*K267/1000000 +#REF!* L267/1000000</f>
        <v>#REF!</v>
      </c>
      <c r="O267" s="27">
        <f t="shared" si="9"/>
        <v>1.7499999999999998E-5</v>
      </c>
      <c r="P267" s="27" t="e">
        <f t="shared" si="10"/>
        <v>#REF!</v>
      </c>
      <c r="Q267" s="25" t="s">
        <v>122</v>
      </c>
      <c r="R267" s="25" t="s">
        <v>108</v>
      </c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</row>
    <row r="268" spans="1:45" ht="44" customHeight="1">
      <c r="A268" s="22" t="s">
        <v>25</v>
      </c>
      <c r="B268" s="23" t="s">
        <v>103</v>
      </c>
      <c r="C268" s="22" t="s">
        <v>123</v>
      </c>
      <c r="D268" s="22" t="s">
        <v>109</v>
      </c>
      <c r="E268" s="23" t="s">
        <v>106</v>
      </c>
      <c r="F268" s="23">
        <v>1468</v>
      </c>
      <c r="G268" s="23">
        <v>14</v>
      </c>
      <c r="H268" s="23">
        <v>0</v>
      </c>
      <c r="I268" s="23">
        <v>1482</v>
      </c>
      <c r="J268" s="23">
        <v>0.2</v>
      </c>
      <c r="K268" s="23">
        <v>0.02</v>
      </c>
      <c r="L268" s="23">
        <v>0</v>
      </c>
      <c r="M268" s="23">
        <v>1.25</v>
      </c>
      <c r="N268" s="24" t="e">
        <f>MAX(0,F268-H268-#REF!)*J268/1000000 + H268*K268/1000000 +#REF!* L268/1000000</f>
        <v>#REF!</v>
      </c>
      <c r="O268" s="24">
        <f t="shared" si="9"/>
        <v>1.7499999999999998E-5</v>
      </c>
      <c r="P268" s="24" t="e">
        <f t="shared" si="10"/>
        <v>#REF!</v>
      </c>
      <c r="Q268" s="22" t="s">
        <v>122</v>
      </c>
      <c r="R268" s="22" t="s">
        <v>108</v>
      </c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</row>
    <row r="269" spans="1:45" ht="44" customHeight="1">
      <c r="A269" s="25" t="s">
        <v>25</v>
      </c>
      <c r="B269" s="26" t="s">
        <v>103</v>
      </c>
      <c r="C269" s="25" t="s">
        <v>123</v>
      </c>
      <c r="D269" s="25" t="s">
        <v>109</v>
      </c>
      <c r="E269" s="26" t="s">
        <v>106</v>
      </c>
      <c r="F269" s="26">
        <v>2660</v>
      </c>
      <c r="G269" s="26">
        <v>226</v>
      </c>
      <c r="H269" s="26">
        <v>0</v>
      </c>
      <c r="I269" s="26">
        <v>2886</v>
      </c>
      <c r="J269" s="26">
        <v>0.2</v>
      </c>
      <c r="K269" s="26">
        <v>0.02</v>
      </c>
      <c r="L269" s="26">
        <v>0</v>
      </c>
      <c r="M269" s="26">
        <v>1.25</v>
      </c>
      <c r="N269" s="27" t="e">
        <f>MAX(0,F269-H269-#REF!)*J269/1000000 + H269*K269/1000000 +#REF!* L269/1000000</f>
        <v>#REF!</v>
      </c>
      <c r="O269" s="27">
        <f t="shared" si="9"/>
        <v>2.8249999999999998E-4</v>
      </c>
      <c r="P269" s="27" t="e">
        <f t="shared" si="10"/>
        <v>#REF!</v>
      </c>
      <c r="Q269" s="25" t="s">
        <v>122</v>
      </c>
      <c r="R269" s="25" t="s">
        <v>108</v>
      </c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</row>
    <row r="270" spans="1:45" ht="44" customHeight="1">
      <c r="A270" s="22" t="s">
        <v>25</v>
      </c>
      <c r="B270" s="23" t="s">
        <v>103</v>
      </c>
      <c r="C270" s="22" t="s">
        <v>123</v>
      </c>
      <c r="D270" s="22" t="s">
        <v>109</v>
      </c>
      <c r="E270" s="23" t="s">
        <v>106</v>
      </c>
      <c r="F270" s="23">
        <v>4443</v>
      </c>
      <c r="G270" s="23">
        <v>392</v>
      </c>
      <c r="H270" s="23">
        <v>0</v>
      </c>
      <c r="I270" s="23">
        <v>4835</v>
      </c>
      <c r="J270" s="23">
        <v>0.2</v>
      </c>
      <c r="K270" s="23">
        <v>0.02</v>
      </c>
      <c r="L270" s="23">
        <v>0</v>
      </c>
      <c r="M270" s="23">
        <v>1.25</v>
      </c>
      <c r="N270" s="24" t="e">
        <f>MAX(0,F270-H270-#REF!)*J270/1000000 + H270*K270/1000000 +#REF!* L270/1000000</f>
        <v>#REF!</v>
      </c>
      <c r="O270" s="24">
        <f t="shared" si="9"/>
        <v>4.8999999999999998E-4</v>
      </c>
      <c r="P270" s="24" t="e">
        <f t="shared" si="10"/>
        <v>#REF!</v>
      </c>
      <c r="Q270" s="22" t="s">
        <v>122</v>
      </c>
      <c r="R270" s="22" t="s">
        <v>108</v>
      </c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</row>
    <row r="271" spans="1:45" ht="44" customHeight="1">
      <c r="A271" s="25" t="s">
        <v>25</v>
      </c>
      <c r="B271" s="26" t="s">
        <v>103</v>
      </c>
      <c r="C271" s="25" t="s">
        <v>123</v>
      </c>
      <c r="D271" s="25" t="s">
        <v>109</v>
      </c>
      <c r="E271" s="26" t="s">
        <v>106</v>
      </c>
      <c r="F271" s="26">
        <v>2730</v>
      </c>
      <c r="G271" s="26">
        <v>373</v>
      </c>
      <c r="H271" s="26">
        <v>0</v>
      </c>
      <c r="I271" s="26">
        <v>3103</v>
      </c>
      <c r="J271" s="26">
        <v>0.2</v>
      </c>
      <c r="K271" s="26">
        <v>0.02</v>
      </c>
      <c r="L271" s="26">
        <v>0</v>
      </c>
      <c r="M271" s="26">
        <v>1.25</v>
      </c>
      <c r="N271" s="27" t="e">
        <f>MAX(0,F271-H271-#REF!)*J271/1000000 + H271*K271/1000000 +#REF!* L271/1000000</f>
        <v>#REF!</v>
      </c>
      <c r="O271" s="27">
        <f t="shared" si="9"/>
        <v>4.6624999999999998E-4</v>
      </c>
      <c r="P271" s="27" t="e">
        <f t="shared" si="10"/>
        <v>#REF!</v>
      </c>
      <c r="Q271" s="25" t="s">
        <v>122</v>
      </c>
      <c r="R271" s="25" t="s">
        <v>108</v>
      </c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</row>
    <row r="272" spans="1:45" ht="44" customHeight="1">
      <c r="A272" s="22" t="s">
        <v>25</v>
      </c>
      <c r="B272" s="23" t="s">
        <v>103</v>
      </c>
      <c r="C272" s="22" t="s">
        <v>123</v>
      </c>
      <c r="D272" s="22" t="s">
        <v>109</v>
      </c>
      <c r="E272" s="23" t="s">
        <v>106</v>
      </c>
      <c r="F272" s="23">
        <v>1728</v>
      </c>
      <c r="G272" s="23">
        <v>361</v>
      </c>
      <c r="H272" s="23">
        <v>0</v>
      </c>
      <c r="I272" s="23">
        <v>2089</v>
      </c>
      <c r="J272" s="23">
        <v>0.2</v>
      </c>
      <c r="K272" s="23">
        <v>0.02</v>
      </c>
      <c r="L272" s="23">
        <v>0</v>
      </c>
      <c r="M272" s="23">
        <v>1.25</v>
      </c>
      <c r="N272" s="24" t="e">
        <f>MAX(0,F272-H272-#REF!)*J272/1000000 + H272*K272/1000000 +#REF!* L272/1000000</f>
        <v>#REF!</v>
      </c>
      <c r="O272" s="24">
        <f t="shared" si="9"/>
        <v>4.5124999999999999E-4</v>
      </c>
      <c r="P272" s="24" t="e">
        <f t="shared" si="10"/>
        <v>#REF!</v>
      </c>
      <c r="Q272" s="22" t="s">
        <v>122</v>
      </c>
      <c r="R272" s="22" t="s">
        <v>108</v>
      </c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</row>
    <row r="273" spans="1:45" ht="44" customHeight="1">
      <c r="A273" s="25" t="s">
        <v>25</v>
      </c>
      <c r="B273" s="26" t="s">
        <v>103</v>
      </c>
      <c r="C273" s="25" t="s">
        <v>123</v>
      </c>
      <c r="D273" s="25" t="s">
        <v>109</v>
      </c>
      <c r="E273" s="26" t="s">
        <v>106</v>
      </c>
      <c r="F273" s="26">
        <v>2471</v>
      </c>
      <c r="G273" s="26">
        <v>485</v>
      </c>
      <c r="H273" s="26">
        <v>0</v>
      </c>
      <c r="I273" s="26">
        <v>2956</v>
      </c>
      <c r="J273" s="26">
        <v>0.2</v>
      </c>
      <c r="K273" s="26">
        <v>0.02</v>
      </c>
      <c r="L273" s="26">
        <v>0</v>
      </c>
      <c r="M273" s="26">
        <v>1.25</v>
      </c>
      <c r="N273" s="27" t="e">
        <f>MAX(0,F273-H273-#REF!)*J273/1000000 + H273*K273/1000000 +#REF!* L273/1000000</f>
        <v>#REF!</v>
      </c>
      <c r="O273" s="27">
        <f t="shared" si="9"/>
        <v>6.0625000000000002E-4</v>
      </c>
      <c r="P273" s="27" t="e">
        <f t="shared" si="10"/>
        <v>#REF!</v>
      </c>
      <c r="Q273" s="25" t="s">
        <v>122</v>
      </c>
      <c r="R273" s="25" t="s">
        <v>108</v>
      </c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</row>
    <row r="274" spans="1:45" ht="44" customHeight="1">
      <c r="A274" s="22" t="s">
        <v>25</v>
      </c>
      <c r="B274" s="23" t="s">
        <v>103</v>
      </c>
      <c r="C274" s="22" t="s">
        <v>123</v>
      </c>
      <c r="D274" s="22" t="s">
        <v>109</v>
      </c>
      <c r="E274" s="23" t="s">
        <v>106</v>
      </c>
      <c r="F274" s="23">
        <v>2562</v>
      </c>
      <c r="G274" s="23">
        <v>353</v>
      </c>
      <c r="H274" s="23">
        <v>0</v>
      </c>
      <c r="I274" s="23">
        <v>2915</v>
      </c>
      <c r="J274" s="23">
        <v>0.2</v>
      </c>
      <c r="K274" s="23">
        <v>0.02</v>
      </c>
      <c r="L274" s="23">
        <v>0</v>
      </c>
      <c r="M274" s="23">
        <v>1.25</v>
      </c>
      <c r="N274" s="24" t="e">
        <f>MAX(0,F274-H274-#REF!)*J274/1000000 + H274*K274/1000000 +#REF!* L274/1000000</f>
        <v>#REF!</v>
      </c>
      <c r="O274" s="24">
        <f t="shared" si="9"/>
        <v>4.4125000000000002E-4</v>
      </c>
      <c r="P274" s="24" t="e">
        <f t="shared" si="10"/>
        <v>#REF!</v>
      </c>
      <c r="Q274" s="22" t="s">
        <v>122</v>
      </c>
      <c r="R274" s="22" t="s">
        <v>108</v>
      </c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</row>
    <row r="275" spans="1:45" ht="44" customHeight="1">
      <c r="A275" s="25" t="s">
        <v>25</v>
      </c>
      <c r="B275" s="26" t="s">
        <v>103</v>
      </c>
      <c r="C275" s="25" t="s">
        <v>123</v>
      </c>
      <c r="D275" s="25" t="s">
        <v>110</v>
      </c>
      <c r="E275" s="26" t="s">
        <v>106</v>
      </c>
      <c r="F275" s="26">
        <v>1768</v>
      </c>
      <c r="G275" s="26">
        <v>14</v>
      </c>
      <c r="H275" s="26">
        <v>0</v>
      </c>
      <c r="I275" s="26">
        <v>1782</v>
      </c>
      <c r="J275" s="26">
        <v>0.2</v>
      </c>
      <c r="K275" s="26">
        <v>0.02</v>
      </c>
      <c r="L275" s="26">
        <v>0</v>
      </c>
      <c r="M275" s="26">
        <v>1.25</v>
      </c>
      <c r="N275" s="27" t="e">
        <f>MAX(0,F275-H275-#REF!)*J275/1000000 + H275*K275/1000000 +#REF!* L275/1000000</f>
        <v>#REF!</v>
      </c>
      <c r="O275" s="27">
        <f t="shared" si="9"/>
        <v>1.7499999999999998E-5</v>
      </c>
      <c r="P275" s="27" t="e">
        <f t="shared" si="10"/>
        <v>#REF!</v>
      </c>
      <c r="Q275" s="25" t="s">
        <v>122</v>
      </c>
      <c r="R275" s="25" t="s">
        <v>108</v>
      </c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</row>
    <row r="276" spans="1:45" ht="44" customHeight="1">
      <c r="A276" s="22" t="s">
        <v>25</v>
      </c>
      <c r="B276" s="23" t="s">
        <v>103</v>
      </c>
      <c r="C276" s="22" t="s">
        <v>123</v>
      </c>
      <c r="D276" s="22" t="s">
        <v>110</v>
      </c>
      <c r="E276" s="23" t="s">
        <v>106</v>
      </c>
      <c r="F276" s="23">
        <v>1472</v>
      </c>
      <c r="G276" s="23">
        <v>14</v>
      </c>
      <c r="H276" s="23">
        <v>0</v>
      </c>
      <c r="I276" s="23">
        <v>1486</v>
      </c>
      <c r="J276" s="23">
        <v>0.2</v>
      </c>
      <c r="K276" s="23">
        <v>0.02</v>
      </c>
      <c r="L276" s="23">
        <v>0</v>
      </c>
      <c r="M276" s="23">
        <v>1.25</v>
      </c>
      <c r="N276" s="24" t="e">
        <f>MAX(0,F276-H276-#REF!)*J276/1000000 + H276*K276/1000000 +#REF!* L276/1000000</f>
        <v>#REF!</v>
      </c>
      <c r="O276" s="24">
        <f t="shared" si="9"/>
        <v>1.7499999999999998E-5</v>
      </c>
      <c r="P276" s="24" t="e">
        <f t="shared" si="10"/>
        <v>#REF!</v>
      </c>
      <c r="Q276" s="22" t="s">
        <v>122</v>
      </c>
      <c r="R276" s="22" t="s">
        <v>108</v>
      </c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</row>
    <row r="277" spans="1:45" ht="44" customHeight="1">
      <c r="A277" s="25" t="s">
        <v>25</v>
      </c>
      <c r="B277" s="26" t="s">
        <v>103</v>
      </c>
      <c r="C277" s="25" t="s">
        <v>123</v>
      </c>
      <c r="D277" s="25" t="s">
        <v>110</v>
      </c>
      <c r="E277" s="26" t="s">
        <v>106</v>
      </c>
      <c r="F277" s="26">
        <v>2240</v>
      </c>
      <c r="G277" s="26">
        <v>190</v>
      </c>
      <c r="H277" s="26">
        <v>0</v>
      </c>
      <c r="I277" s="26">
        <v>2430</v>
      </c>
      <c r="J277" s="26">
        <v>0.2</v>
      </c>
      <c r="K277" s="26">
        <v>0.02</v>
      </c>
      <c r="L277" s="26">
        <v>0</v>
      </c>
      <c r="M277" s="26">
        <v>1.25</v>
      </c>
      <c r="N277" s="27" t="e">
        <f>MAX(0,F277-H277-#REF!)*J277/1000000 + H277*K277/1000000 +#REF!* L277/1000000</f>
        <v>#REF!</v>
      </c>
      <c r="O277" s="27">
        <f t="shared" si="9"/>
        <v>2.375E-4</v>
      </c>
      <c r="P277" s="27" t="e">
        <f t="shared" si="10"/>
        <v>#REF!</v>
      </c>
      <c r="Q277" s="25" t="s">
        <v>122</v>
      </c>
      <c r="R277" s="25" t="s">
        <v>108</v>
      </c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</row>
    <row r="278" spans="1:45" ht="44" customHeight="1">
      <c r="A278" s="22" t="s">
        <v>25</v>
      </c>
      <c r="B278" s="23" t="s">
        <v>103</v>
      </c>
      <c r="C278" s="22" t="s">
        <v>123</v>
      </c>
      <c r="D278" s="22" t="s">
        <v>110</v>
      </c>
      <c r="E278" s="23" t="s">
        <v>106</v>
      </c>
      <c r="F278" s="23">
        <v>7419</v>
      </c>
      <c r="G278" s="23">
        <v>177</v>
      </c>
      <c r="H278" s="23">
        <v>0</v>
      </c>
      <c r="I278" s="23">
        <v>7596</v>
      </c>
      <c r="J278" s="23">
        <v>0.2</v>
      </c>
      <c r="K278" s="23">
        <v>0.02</v>
      </c>
      <c r="L278" s="23">
        <v>0</v>
      </c>
      <c r="M278" s="23">
        <v>1.25</v>
      </c>
      <c r="N278" s="24" t="e">
        <f>MAX(0,F278-H278-#REF!)*J278/1000000 + H278*K278/1000000 +#REF!* L278/1000000</f>
        <v>#REF!</v>
      </c>
      <c r="O278" s="24">
        <f t="shared" si="9"/>
        <v>2.2125000000000001E-4</v>
      </c>
      <c r="P278" s="24" t="e">
        <f t="shared" si="10"/>
        <v>#REF!</v>
      </c>
      <c r="Q278" s="22" t="s">
        <v>122</v>
      </c>
      <c r="R278" s="22" t="s">
        <v>108</v>
      </c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</row>
    <row r="279" spans="1:45" ht="44" customHeight="1">
      <c r="A279" s="25" t="s">
        <v>25</v>
      </c>
      <c r="B279" s="26" t="s">
        <v>103</v>
      </c>
      <c r="C279" s="25" t="s">
        <v>123</v>
      </c>
      <c r="D279" s="25" t="s">
        <v>110</v>
      </c>
      <c r="E279" s="26" t="s">
        <v>106</v>
      </c>
      <c r="F279" s="26">
        <v>2734</v>
      </c>
      <c r="G279" s="26">
        <v>310</v>
      </c>
      <c r="H279" s="26">
        <v>0</v>
      </c>
      <c r="I279" s="26">
        <v>3044</v>
      </c>
      <c r="J279" s="26">
        <v>0.2</v>
      </c>
      <c r="K279" s="26">
        <v>0.02</v>
      </c>
      <c r="L279" s="26">
        <v>0</v>
      </c>
      <c r="M279" s="26">
        <v>1.25</v>
      </c>
      <c r="N279" s="27" t="e">
        <f>MAX(0,F279-H279-#REF!)*J279/1000000 + H279*K279/1000000 +#REF!* L279/1000000</f>
        <v>#REF!</v>
      </c>
      <c r="O279" s="27">
        <f t="shared" ref="O279:O342" si="11">G279*M279/1000000</f>
        <v>3.8749999999999999E-4</v>
      </c>
      <c r="P279" s="27" t="e">
        <f t="shared" ref="P279:P342" si="12">N279+O279</f>
        <v>#REF!</v>
      </c>
      <c r="Q279" s="25" t="s">
        <v>122</v>
      </c>
      <c r="R279" s="25" t="s">
        <v>108</v>
      </c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</row>
    <row r="280" spans="1:45" ht="44" customHeight="1">
      <c r="A280" s="22" t="s">
        <v>25</v>
      </c>
      <c r="B280" s="23" t="s">
        <v>103</v>
      </c>
      <c r="C280" s="22" t="s">
        <v>123</v>
      </c>
      <c r="D280" s="22" t="s">
        <v>110</v>
      </c>
      <c r="E280" s="23" t="s">
        <v>106</v>
      </c>
      <c r="F280" s="23">
        <v>1780</v>
      </c>
      <c r="G280" s="23">
        <v>178</v>
      </c>
      <c r="H280" s="23">
        <v>0</v>
      </c>
      <c r="I280" s="23">
        <v>1958</v>
      </c>
      <c r="J280" s="23">
        <v>0.2</v>
      </c>
      <c r="K280" s="23">
        <v>0.02</v>
      </c>
      <c r="L280" s="23">
        <v>0</v>
      </c>
      <c r="M280" s="23">
        <v>1.25</v>
      </c>
      <c r="N280" s="24" t="e">
        <f>MAX(0,F280-H280-#REF!)*J280/1000000 + H280*K280/1000000 +#REF!* L280/1000000</f>
        <v>#REF!</v>
      </c>
      <c r="O280" s="24">
        <f t="shared" si="11"/>
        <v>2.2249999999999999E-4</v>
      </c>
      <c r="P280" s="24" t="e">
        <f t="shared" si="12"/>
        <v>#REF!</v>
      </c>
      <c r="Q280" s="22" t="s">
        <v>122</v>
      </c>
      <c r="R280" s="22" t="s">
        <v>108</v>
      </c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</row>
    <row r="281" spans="1:45" ht="44" customHeight="1">
      <c r="A281" s="25" t="s">
        <v>25</v>
      </c>
      <c r="B281" s="26" t="s">
        <v>103</v>
      </c>
      <c r="C281" s="25" t="s">
        <v>123</v>
      </c>
      <c r="D281" s="25" t="s">
        <v>110</v>
      </c>
      <c r="E281" s="26" t="s">
        <v>106</v>
      </c>
      <c r="F281" s="26">
        <v>1732</v>
      </c>
      <c r="G281" s="26">
        <v>164</v>
      </c>
      <c r="H281" s="26">
        <v>0</v>
      </c>
      <c r="I281" s="26">
        <v>1896</v>
      </c>
      <c r="J281" s="26">
        <v>0.2</v>
      </c>
      <c r="K281" s="26">
        <v>0.02</v>
      </c>
      <c r="L281" s="26">
        <v>0</v>
      </c>
      <c r="M281" s="26">
        <v>1.25</v>
      </c>
      <c r="N281" s="27" t="e">
        <f>MAX(0,F281-H281-#REF!)*J281/1000000 + H281*K281/1000000 +#REF!* L281/1000000</f>
        <v>#REF!</v>
      </c>
      <c r="O281" s="27">
        <f t="shared" si="11"/>
        <v>2.05E-4</v>
      </c>
      <c r="P281" s="27" t="e">
        <f t="shared" si="12"/>
        <v>#REF!</v>
      </c>
      <c r="Q281" s="25" t="s">
        <v>122</v>
      </c>
      <c r="R281" s="25" t="s">
        <v>108</v>
      </c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</row>
    <row r="282" spans="1:45" ht="44" customHeight="1">
      <c r="A282" s="22" t="s">
        <v>25</v>
      </c>
      <c r="B282" s="23" t="s">
        <v>103</v>
      </c>
      <c r="C282" s="22" t="s">
        <v>123</v>
      </c>
      <c r="D282" s="22" t="s">
        <v>110</v>
      </c>
      <c r="E282" s="23" t="s">
        <v>106</v>
      </c>
      <c r="F282" s="23">
        <v>2664</v>
      </c>
      <c r="G282" s="23">
        <v>319</v>
      </c>
      <c r="H282" s="23">
        <v>0</v>
      </c>
      <c r="I282" s="23">
        <v>2983</v>
      </c>
      <c r="J282" s="23">
        <v>0.2</v>
      </c>
      <c r="K282" s="23">
        <v>0.02</v>
      </c>
      <c r="L282" s="23">
        <v>0</v>
      </c>
      <c r="M282" s="23">
        <v>1.25</v>
      </c>
      <c r="N282" s="24" t="e">
        <f>MAX(0,F282-H282-#REF!)*J282/1000000 + H282*K282/1000000 +#REF!* L282/1000000</f>
        <v>#REF!</v>
      </c>
      <c r="O282" s="24">
        <f t="shared" si="11"/>
        <v>3.9875000000000002E-4</v>
      </c>
      <c r="P282" s="24" t="e">
        <f t="shared" si="12"/>
        <v>#REF!</v>
      </c>
      <c r="Q282" s="22" t="s">
        <v>122</v>
      </c>
      <c r="R282" s="22" t="s">
        <v>108</v>
      </c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</row>
    <row r="283" spans="1:45" ht="44" customHeight="1">
      <c r="A283" s="25" t="s">
        <v>25</v>
      </c>
      <c r="B283" s="26" t="s">
        <v>103</v>
      </c>
      <c r="C283" s="25" t="s">
        <v>123</v>
      </c>
      <c r="D283" s="25" t="s">
        <v>110</v>
      </c>
      <c r="E283" s="26" t="s">
        <v>106</v>
      </c>
      <c r="F283" s="26">
        <v>4447</v>
      </c>
      <c r="G283" s="26">
        <v>364</v>
      </c>
      <c r="H283" s="26">
        <v>0</v>
      </c>
      <c r="I283" s="26">
        <v>4811</v>
      </c>
      <c r="J283" s="26">
        <v>0.2</v>
      </c>
      <c r="K283" s="26">
        <v>0.02</v>
      </c>
      <c r="L283" s="26">
        <v>0</v>
      </c>
      <c r="M283" s="26">
        <v>1.25</v>
      </c>
      <c r="N283" s="27" t="e">
        <f>MAX(0,F283-H283-#REF!)*J283/1000000 + H283*K283/1000000 +#REF!* L283/1000000</f>
        <v>#REF!</v>
      </c>
      <c r="O283" s="27">
        <f t="shared" si="11"/>
        <v>4.55E-4</v>
      </c>
      <c r="P283" s="27" t="e">
        <f t="shared" si="12"/>
        <v>#REF!</v>
      </c>
      <c r="Q283" s="25" t="s">
        <v>122</v>
      </c>
      <c r="R283" s="25" t="s">
        <v>108</v>
      </c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</row>
    <row r="284" spans="1:45" ht="44" customHeight="1">
      <c r="A284" s="22" t="s">
        <v>25</v>
      </c>
      <c r="B284" s="23" t="s">
        <v>103</v>
      </c>
      <c r="C284" s="22" t="s">
        <v>123</v>
      </c>
      <c r="D284" s="22" t="s">
        <v>110</v>
      </c>
      <c r="E284" s="23" t="s">
        <v>106</v>
      </c>
      <c r="F284" s="23">
        <v>2566</v>
      </c>
      <c r="G284" s="23">
        <v>160</v>
      </c>
      <c r="H284" s="23">
        <v>0</v>
      </c>
      <c r="I284" s="23">
        <v>2726</v>
      </c>
      <c r="J284" s="23">
        <v>0.2</v>
      </c>
      <c r="K284" s="23">
        <v>0.02</v>
      </c>
      <c r="L284" s="23">
        <v>0</v>
      </c>
      <c r="M284" s="23">
        <v>1.25</v>
      </c>
      <c r="N284" s="24" t="e">
        <f>MAX(0,F284-H284-#REF!)*J284/1000000 + H284*K284/1000000 +#REF!* L284/1000000</f>
        <v>#REF!</v>
      </c>
      <c r="O284" s="24">
        <f t="shared" si="11"/>
        <v>2.0000000000000001E-4</v>
      </c>
      <c r="P284" s="24" t="e">
        <f t="shared" si="12"/>
        <v>#REF!</v>
      </c>
      <c r="Q284" s="22" t="s">
        <v>122</v>
      </c>
      <c r="R284" s="22" t="s">
        <v>108</v>
      </c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</row>
    <row r="285" spans="1:45" ht="44" customHeight="1">
      <c r="A285" s="25" t="s">
        <v>25</v>
      </c>
      <c r="B285" s="26" t="s">
        <v>103</v>
      </c>
      <c r="C285" s="25" t="s">
        <v>123</v>
      </c>
      <c r="D285" s="25" t="s">
        <v>110</v>
      </c>
      <c r="E285" s="26" t="s">
        <v>106</v>
      </c>
      <c r="F285" s="26">
        <v>2475</v>
      </c>
      <c r="G285" s="26">
        <v>205</v>
      </c>
      <c r="H285" s="26">
        <v>0</v>
      </c>
      <c r="I285" s="26">
        <v>2680</v>
      </c>
      <c r="J285" s="26">
        <v>0.2</v>
      </c>
      <c r="K285" s="26">
        <v>0.02</v>
      </c>
      <c r="L285" s="26">
        <v>0</v>
      </c>
      <c r="M285" s="26">
        <v>1.25</v>
      </c>
      <c r="N285" s="27" t="e">
        <f>MAX(0,F285-H285-#REF!)*J285/1000000 + H285*K285/1000000 +#REF!* L285/1000000</f>
        <v>#REF!</v>
      </c>
      <c r="O285" s="27">
        <f t="shared" si="11"/>
        <v>2.5625000000000002E-4</v>
      </c>
      <c r="P285" s="27" t="e">
        <f t="shared" si="12"/>
        <v>#REF!</v>
      </c>
      <c r="Q285" s="25" t="s">
        <v>122</v>
      </c>
      <c r="R285" s="25" t="s">
        <v>108</v>
      </c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</row>
    <row r="286" spans="1:45" ht="44" customHeight="1">
      <c r="A286" s="22" t="s">
        <v>25</v>
      </c>
      <c r="B286" s="23" t="s">
        <v>103</v>
      </c>
      <c r="C286" s="22" t="s">
        <v>123</v>
      </c>
      <c r="D286" s="22" t="s">
        <v>110</v>
      </c>
      <c r="E286" s="23" t="s">
        <v>106</v>
      </c>
      <c r="F286" s="23">
        <v>5212</v>
      </c>
      <c r="G286" s="23">
        <v>218</v>
      </c>
      <c r="H286" s="23">
        <v>0</v>
      </c>
      <c r="I286" s="23">
        <v>5430</v>
      </c>
      <c r="J286" s="23">
        <v>0.2</v>
      </c>
      <c r="K286" s="23">
        <v>0.02</v>
      </c>
      <c r="L286" s="23">
        <v>0</v>
      </c>
      <c r="M286" s="23">
        <v>1.25</v>
      </c>
      <c r="N286" s="24" t="e">
        <f>MAX(0,F286-H286-#REF!)*J286/1000000 + H286*K286/1000000 +#REF!* L286/1000000</f>
        <v>#REF!</v>
      </c>
      <c r="O286" s="24">
        <f t="shared" si="11"/>
        <v>2.7250000000000001E-4</v>
      </c>
      <c r="P286" s="24" t="e">
        <f t="shared" si="12"/>
        <v>#REF!</v>
      </c>
      <c r="Q286" s="22" t="s">
        <v>122</v>
      </c>
      <c r="R286" s="22" t="s">
        <v>108</v>
      </c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</row>
    <row r="287" spans="1:45" ht="44" customHeight="1">
      <c r="A287" s="25" t="s">
        <v>25</v>
      </c>
      <c r="B287" s="26" t="s">
        <v>103</v>
      </c>
      <c r="C287" s="25" t="s">
        <v>123</v>
      </c>
      <c r="D287" s="25" t="s">
        <v>111</v>
      </c>
      <c r="E287" s="26" t="s">
        <v>106</v>
      </c>
      <c r="F287" s="26">
        <v>1300</v>
      </c>
      <c r="G287" s="26">
        <v>14</v>
      </c>
      <c r="H287" s="26">
        <v>0</v>
      </c>
      <c r="I287" s="26">
        <v>1314</v>
      </c>
      <c r="J287" s="26">
        <v>0.2</v>
      </c>
      <c r="K287" s="26">
        <v>0.02</v>
      </c>
      <c r="L287" s="26">
        <v>0</v>
      </c>
      <c r="M287" s="26">
        <v>1.25</v>
      </c>
      <c r="N287" s="27" t="e">
        <f>MAX(0,F287-H287-#REF!)*J287/1000000 + H287*K287/1000000 +#REF!* L287/1000000</f>
        <v>#REF!</v>
      </c>
      <c r="O287" s="27">
        <f t="shared" si="11"/>
        <v>1.7499999999999998E-5</v>
      </c>
      <c r="P287" s="27" t="e">
        <f t="shared" si="12"/>
        <v>#REF!</v>
      </c>
      <c r="Q287" s="25" t="s">
        <v>122</v>
      </c>
      <c r="R287" s="25" t="s">
        <v>108</v>
      </c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</row>
    <row r="288" spans="1:45" ht="44" customHeight="1">
      <c r="A288" s="22" t="s">
        <v>25</v>
      </c>
      <c r="B288" s="23" t="s">
        <v>103</v>
      </c>
      <c r="C288" s="22" t="s">
        <v>123</v>
      </c>
      <c r="D288" s="22" t="s">
        <v>111</v>
      </c>
      <c r="E288" s="23" t="s">
        <v>106</v>
      </c>
      <c r="F288" s="23">
        <v>3979</v>
      </c>
      <c r="G288" s="23">
        <v>14</v>
      </c>
      <c r="H288" s="23">
        <v>0</v>
      </c>
      <c r="I288" s="23">
        <v>3993</v>
      </c>
      <c r="J288" s="23">
        <v>0.2</v>
      </c>
      <c r="K288" s="23">
        <v>0.02</v>
      </c>
      <c r="L288" s="23">
        <v>0</v>
      </c>
      <c r="M288" s="23">
        <v>1.25</v>
      </c>
      <c r="N288" s="24" t="e">
        <f>MAX(0,F288-H288-#REF!)*J288/1000000 + H288*K288/1000000 +#REF!* L288/1000000</f>
        <v>#REF!</v>
      </c>
      <c r="O288" s="24">
        <f t="shared" si="11"/>
        <v>1.7499999999999998E-5</v>
      </c>
      <c r="P288" s="24" t="e">
        <f t="shared" si="12"/>
        <v>#REF!</v>
      </c>
      <c r="Q288" s="22" t="s">
        <v>122</v>
      </c>
      <c r="R288" s="22" t="s">
        <v>108</v>
      </c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</row>
    <row r="289" spans="1:45" ht="44" customHeight="1">
      <c r="A289" s="25" t="s">
        <v>25</v>
      </c>
      <c r="B289" s="26" t="s">
        <v>103</v>
      </c>
      <c r="C289" s="25" t="s">
        <v>123</v>
      </c>
      <c r="D289" s="25" t="s">
        <v>111</v>
      </c>
      <c r="E289" s="26" t="s">
        <v>106</v>
      </c>
      <c r="F289" s="26">
        <v>4744</v>
      </c>
      <c r="G289" s="26">
        <v>14</v>
      </c>
      <c r="H289" s="26">
        <v>0</v>
      </c>
      <c r="I289" s="26">
        <v>4758</v>
      </c>
      <c r="J289" s="26">
        <v>0.2</v>
      </c>
      <c r="K289" s="26">
        <v>0.02</v>
      </c>
      <c r="L289" s="26">
        <v>0</v>
      </c>
      <c r="M289" s="26">
        <v>1.25</v>
      </c>
      <c r="N289" s="27" t="e">
        <f>MAX(0,F289-H289-#REF!)*J289/1000000 + H289*K289/1000000 +#REF!* L289/1000000</f>
        <v>#REF!</v>
      </c>
      <c r="O289" s="27">
        <f t="shared" si="11"/>
        <v>1.7499999999999998E-5</v>
      </c>
      <c r="P289" s="27" t="e">
        <f t="shared" si="12"/>
        <v>#REF!</v>
      </c>
      <c r="Q289" s="25" t="s">
        <v>122</v>
      </c>
      <c r="R289" s="25" t="s">
        <v>108</v>
      </c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</row>
    <row r="290" spans="1:45" ht="44" customHeight="1">
      <c r="A290" s="22" t="s">
        <v>25</v>
      </c>
      <c r="B290" s="23" t="s">
        <v>103</v>
      </c>
      <c r="C290" s="22" t="s">
        <v>123</v>
      </c>
      <c r="D290" s="22" t="s">
        <v>111</v>
      </c>
      <c r="E290" s="23" t="s">
        <v>106</v>
      </c>
      <c r="F290" s="23">
        <v>6951</v>
      </c>
      <c r="G290" s="23">
        <v>14</v>
      </c>
      <c r="H290" s="23">
        <v>0</v>
      </c>
      <c r="I290" s="23">
        <v>6965</v>
      </c>
      <c r="J290" s="23">
        <v>0.2</v>
      </c>
      <c r="K290" s="23">
        <v>0.02</v>
      </c>
      <c r="L290" s="23">
        <v>0</v>
      </c>
      <c r="M290" s="23">
        <v>1.25</v>
      </c>
      <c r="N290" s="24" t="e">
        <f>MAX(0,F290-H290-#REF!)*J290/1000000 + H290*K290/1000000 +#REF!* L290/1000000</f>
        <v>#REF!</v>
      </c>
      <c r="O290" s="24">
        <f t="shared" si="11"/>
        <v>1.7499999999999998E-5</v>
      </c>
      <c r="P290" s="24" t="e">
        <f t="shared" si="12"/>
        <v>#REF!</v>
      </c>
      <c r="Q290" s="22" t="s">
        <v>122</v>
      </c>
      <c r="R290" s="22" t="s">
        <v>108</v>
      </c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</row>
    <row r="291" spans="1:45" ht="44" customHeight="1">
      <c r="A291" s="25" t="s">
        <v>25</v>
      </c>
      <c r="B291" s="26" t="s">
        <v>103</v>
      </c>
      <c r="C291" s="25" t="s">
        <v>123</v>
      </c>
      <c r="D291" s="25" t="s">
        <v>111</v>
      </c>
      <c r="E291" s="26" t="s">
        <v>106</v>
      </c>
      <c r="F291" s="26">
        <v>1772</v>
      </c>
      <c r="G291" s="26">
        <v>14</v>
      </c>
      <c r="H291" s="26">
        <v>0</v>
      </c>
      <c r="I291" s="26">
        <v>1786</v>
      </c>
      <c r="J291" s="26">
        <v>0.2</v>
      </c>
      <c r="K291" s="26">
        <v>0.02</v>
      </c>
      <c r="L291" s="26">
        <v>0</v>
      </c>
      <c r="M291" s="26">
        <v>1.25</v>
      </c>
      <c r="N291" s="27" t="e">
        <f>MAX(0,F291-H291-#REF!)*J291/1000000 + H291*K291/1000000 +#REF!* L291/1000000</f>
        <v>#REF!</v>
      </c>
      <c r="O291" s="27">
        <f t="shared" si="11"/>
        <v>1.7499999999999998E-5</v>
      </c>
      <c r="P291" s="27" t="e">
        <f t="shared" si="12"/>
        <v>#REF!</v>
      </c>
      <c r="Q291" s="25" t="s">
        <v>122</v>
      </c>
      <c r="R291" s="25" t="s">
        <v>108</v>
      </c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</row>
    <row r="292" spans="1:45" ht="44" customHeight="1">
      <c r="A292" s="22" t="s">
        <v>25</v>
      </c>
      <c r="B292" s="23" t="s">
        <v>103</v>
      </c>
      <c r="C292" s="22" t="s">
        <v>123</v>
      </c>
      <c r="D292" s="22" t="s">
        <v>111</v>
      </c>
      <c r="E292" s="23" t="s">
        <v>106</v>
      </c>
      <c r="F292" s="23">
        <v>1004</v>
      </c>
      <c r="G292" s="23">
        <v>14</v>
      </c>
      <c r="H292" s="23">
        <v>0</v>
      </c>
      <c r="I292" s="23">
        <v>1018</v>
      </c>
      <c r="J292" s="23">
        <v>0.2</v>
      </c>
      <c r="K292" s="23">
        <v>0.02</v>
      </c>
      <c r="L292" s="23">
        <v>0</v>
      </c>
      <c r="M292" s="23">
        <v>1.25</v>
      </c>
      <c r="N292" s="24" t="e">
        <f>MAX(0,F292-H292-#REF!)*J292/1000000 + H292*K292/1000000 +#REF!* L292/1000000</f>
        <v>#REF!</v>
      </c>
      <c r="O292" s="24">
        <f t="shared" si="11"/>
        <v>1.7499999999999998E-5</v>
      </c>
      <c r="P292" s="24" t="e">
        <f t="shared" si="12"/>
        <v>#REF!</v>
      </c>
      <c r="Q292" s="22" t="s">
        <v>122</v>
      </c>
      <c r="R292" s="22" t="s">
        <v>108</v>
      </c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</row>
    <row r="293" spans="1:45" ht="44" customHeight="1">
      <c r="A293" s="25" t="s">
        <v>25</v>
      </c>
      <c r="B293" s="26" t="s">
        <v>103</v>
      </c>
      <c r="C293" s="25" t="s">
        <v>123</v>
      </c>
      <c r="D293" s="25" t="s">
        <v>111</v>
      </c>
      <c r="E293" s="26" t="s">
        <v>106</v>
      </c>
      <c r="F293" s="26">
        <v>1264</v>
      </c>
      <c r="G293" s="26">
        <v>14</v>
      </c>
      <c r="H293" s="26">
        <v>0</v>
      </c>
      <c r="I293" s="26">
        <v>1278</v>
      </c>
      <c r="J293" s="26">
        <v>0.2</v>
      </c>
      <c r="K293" s="26">
        <v>0.02</v>
      </c>
      <c r="L293" s="26">
        <v>0</v>
      </c>
      <c r="M293" s="26">
        <v>1.25</v>
      </c>
      <c r="N293" s="27" t="e">
        <f>MAX(0,F293-H293-#REF!)*J293/1000000 + H293*K293/1000000 +#REF!* L293/1000000</f>
        <v>#REF!</v>
      </c>
      <c r="O293" s="27">
        <f t="shared" si="11"/>
        <v>1.7499999999999998E-5</v>
      </c>
      <c r="P293" s="27" t="e">
        <f t="shared" si="12"/>
        <v>#REF!</v>
      </c>
      <c r="Q293" s="25" t="s">
        <v>122</v>
      </c>
      <c r="R293" s="25" t="s">
        <v>108</v>
      </c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</row>
    <row r="294" spans="1:45" ht="44" customHeight="1">
      <c r="A294" s="22" t="s">
        <v>25</v>
      </c>
      <c r="B294" s="23" t="s">
        <v>103</v>
      </c>
      <c r="C294" s="22" t="s">
        <v>123</v>
      </c>
      <c r="D294" s="22" t="s">
        <v>111</v>
      </c>
      <c r="E294" s="23" t="s">
        <v>106</v>
      </c>
      <c r="F294" s="23">
        <v>1312</v>
      </c>
      <c r="G294" s="23">
        <v>14</v>
      </c>
      <c r="H294" s="23">
        <v>0</v>
      </c>
      <c r="I294" s="23">
        <v>1326</v>
      </c>
      <c r="J294" s="23">
        <v>0.2</v>
      </c>
      <c r="K294" s="23">
        <v>0.02</v>
      </c>
      <c r="L294" s="23">
        <v>0</v>
      </c>
      <c r="M294" s="23">
        <v>1.25</v>
      </c>
      <c r="N294" s="24" t="e">
        <f>MAX(0,F294-H294-#REF!)*J294/1000000 + H294*K294/1000000 +#REF!* L294/1000000</f>
        <v>#REF!</v>
      </c>
      <c r="O294" s="24">
        <f t="shared" si="11"/>
        <v>1.7499999999999998E-5</v>
      </c>
      <c r="P294" s="24" t="e">
        <f t="shared" si="12"/>
        <v>#REF!</v>
      </c>
      <c r="Q294" s="22" t="s">
        <v>122</v>
      </c>
      <c r="R294" s="22" t="s">
        <v>108</v>
      </c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</row>
    <row r="295" spans="1:45" ht="44" customHeight="1">
      <c r="A295" s="25" t="s">
        <v>25</v>
      </c>
      <c r="B295" s="26" t="s">
        <v>103</v>
      </c>
      <c r="C295" s="25" t="s">
        <v>123</v>
      </c>
      <c r="D295" s="25" t="s">
        <v>111</v>
      </c>
      <c r="E295" s="26" t="s">
        <v>106</v>
      </c>
      <c r="F295" s="26">
        <v>2266</v>
      </c>
      <c r="G295" s="26">
        <v>14</v>
      </c>
      <c r="H295" s="26">
        <v>0</v>
      </c>
      <c r="I295" s="26">
        <v>2280</v>
      </c>
      <c r="J295" s="26">
        <v>0.2</v>
      </c>
      <c r="K295" s="26">
        <v>0.02</v>
      </c>
      <c r="L295" s="26">
        <v>0</v>
      </c>
      <c r="M295" s="26">
        <v>1.25</v>
      </c>
      <c r="N295" s="27" t="e">
        <f>MAX(0,F295-H295-#REF!)*J295/1000000 + H295*K295/1000000 +#REF!* L295/1000000</f>
        <v>#REF!</v>
      </c>
      <c r="O295" s="27">
        <f t="shared" si="11"/>
        <v>1.7499999999999998E-5</v>
      </c>
      <c r="P295" s="27" t="e">
        <f t="shared" si="12"/>
        <v>#REF!</v>
      </c>
      <c r="Q295" s="25" t="s">
        <v>122</v>
      </c>
      <c r="R295" s="25" t="s">
        <v>108</v>
      </c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</row>
    <row r="296" spans="1:45" ht="44" customHeight="1">
      <c r="A296" s="22" t="s">
        <v>25</v>
      </c>
      <c r="B296" s="23" t="s">
        <v>103</v>
      </c>
      <c r="C296" s="22" t="s">
        <v>123</v>
      </c>
      <c r="D296" s="22" t="s">
        <v>111</v>
      </c>
      <c r="E296" s="23" t="s">
        <v>106</v>
      </c>
      <c r="F296" s="23">
        <v>2196</v>
      </c>
      <c r="G296" s="23">
        <v>14</v>
      </c>
      <c r="H296" s="23">
        <v>0</v>
      </c>
      <c r="I296" s="23">
        <v>2210</v>
      </c>
      <c r="J296" s="23">
        <v>0.2</v>
      </c>
      <c r="K296" s="23">
        <v>0.02</v>
      </c>
      <c r="L296" s="23">
        <v>0</v>
      </c>
      <c r="M296" s="23">
        <v>1.25</v>
      </c>
      <c r="N296" s="24" t="e">
        <f>MAX(0,F296-H296-#REF!)*J296/1000000 + H296*K296/1000000 +#REF!* L296/1000000</f>
        <v>#REF!</v>
      </c>
      <c r="O296" s="24">
        <f t="shared" si="11"/>
        <v>1.7499999999999998E-5</v>
      </c>
      <c r="P296" s="24" t="e">
        <f t="shared" si="12"/>
        <v>#REF!</v>
      </c>
      <c r="Q296" s="22" t="s">
        <v>122</v>
      </c>
      <c r="R296" s="22" t="s">
        <v>108</v>
      </c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</row>
    <row r="297" spans="1:45" ht="44" customHeight="1">
      <c r="A297" s="25" t="s">
        <v>25</v>
      </c>
      <c r="B297" s="26" t="s">
        <v>103</v>
      </c>
      <c r="C297" s="25" t="s">
        <v>123</v>
      </c>
      <c r="D297" s="25" t="s">
        <v>111</v>
      </c>
      <c r="E297" s="26" t="s">
        <v>106</v>
      </c>
      <c r="F297" s="26">
        <v>2098</v>
      </c>
      <c r="G297" s="26">
        <v>14</v>
      </c>
      <c r="H297" s="26">
        <v>0</v>
      </c>
      <c r="I297" s="26">
        <v>2112</v>
      </c>
      <c r="J297" s="26">
        <v>0.2</v>
      </c>
      <c r="K297" s="26">
        <v>0.02</v>
      </c>
      <c r="L297" s="26">
        <v>0</v>
      </c>
      <c r="M297" s="26">
        <v>1.25</v>
      </c>
      <c r="N297" s="27" t="e">
        <f>MAX(0,F297-H297-#REF!)*J297/1000000 + H297*K297/1000000 +#REF!* L297/1000000</f>
        <v>#REF!</v>
      </c>
      <c r="O297" s="27">
        <f t="shared" si="11"/>
        <v>1.7499999999999998E-5</v>
      </c>
      <c r="P297" s="27" t="e">
        <f t="shared" si="12"/>
        <v>#REF!</v>
      </c>
      <c r="Q297" s="25" t="s">
        <v>122</v>
      </c>
      <c r="R297" s="25" t="s">
        <v>108</v>
      </c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</row>
    <row r="298" spans="1:45" ht="44" customHeight="1">
      <c r="A298" s="22" t="s">
        <v>25</v>
      </c>
      <c r="B298" s="23" t="s">
        <v>103</v>
      </c>
      <c r="C298" s="22" t="s">
        <v>123</v>
      </c>
      <c r="D298" s="22" t="s">
        <v>111</v>
      </c>
      <c r="E298" s="23" t="s">
        <v>106</v>
      </c>
      <c r="F298" s="23">
        <v>2007</v>
      </c>
      <c r="G298" s="23">
        <v>14</v>
      </c>
      <c r="H298" s="23">
        <v>0</v>
      </c>
      <c r="I298" s="23">
        <v>2021</v>
      </c>
      <c r="J298" s="23">
        <v>0.2</v>
      </c>
      <c r="K298" s="23">
        <v>0.02</v>
      </c>
      <c r="L298" s="23">
        <v>0</v>
      </c>
      <c r="M298" s="23">
        <v>1.25</v>
      </c>
      <c r="N298" s="24" t="e">
        <f>MAX(0,F298-H298-#REF!)*J298/1000000 + H298*K298/1000000 +#REF!* L298/1000000</f>
        <v>#REF!</v>
      </c>
      <c r="O298" s="24">
        <f t="shared" si="11"/>
        <v>1.7499999999999998E-5</v>
      </c>
      <c r="P298" s="24" t="e">
        <f t="shared" si="12"/>
        <v>#REF!</v>
      </c>
      <c r="Q298" s="22" t="s">
        <v>122</v>
      </c>
      <c r="R298" s="22" t="s">
        <v>108</v>
      </c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</row>
    <row r="299" spans="1:45" ht="44" customHeight="1">
      <c r="A299" s="25" t="s">
        <v>25</v>
      </c>
      <c r="B299" s="26" t="s">
        <v>103</v>
      </c>
      <c r="C299" s="25" t="s">
        <v>123</v>
      </c>
      <c r="D299" s="25" t="s">
        <v>112</v>
      </c>
      <c r="E299" s="26" t="s">
        <v>106</v>
      </c>
      <c r="F299" s="26">
        <v>1297</v>
      </c>
      <c r="G299" s="26">
        <v>271</v>
      </c>
      <c r="H299" s="26">
        <v>0</v>
      </c>
      <c r="I299" s="26">
        <v>1568</v>
      </c>
      <c r="J299" s="26">
        <v>0.2</v>
      </c>
      <c r="K299" s="26">
        <v>0.02</v>
      </c>
      <c r="L299" s="26">
        <v>0</v>
      </c>
      <c r="M299" s="26">
        <v>1.25</v>
      </c>
      <c r="N299" s="27" t="e">
        <f>MAX(0,F299-H299-#REF!)*J299/1000000 + H299*K299/1000000 +#REF!* L299/1000000</f>
        <v>#REF!</v>
      </c>
      <c r="O299" s="27">
        <f t="shared" si="11"/>
        <v>3.3875000000000002E-4</v>
      </c>
      <c r="P299" s="27" t="e">
        <f t="shared" si="12"/>
        <v>#REF!</v>
      </c>
      <c r="Q299" s="25" t="s">
        <v>122</v>
      </c>
      <c r="R299" s="25" t="s">
        <v>108</v>
      </c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</row>
    <row r="300" spans="1:45" ht="44" customHeight="1">
      <c r="A300" s="22" t="s">
        <v>25</v>
      </c>
      <c r="B300" s="23" t="s">
        <v>103</v>
      </c>
      <c r="C300" s="22" t="s">
        <v>123</v>
      </c>
      <c r="D300" s="22" t="s">
        <v>112</v>
      </c>
      <c r="E300" s="23" t="s">
        <v>106</v>
      </c>
      <c r="F300" s="23">
        <v>1679</v>
      </c>
      <c r="G300" s="23">
        <v>242</v>
      </c>
      <c r="H300" s="23">
        <v>0</v>
      </c>
      <c r="I300" s="23">
        <v>1921</v>
      </c>
      <c r="J300" s="23">
        <v>0.2</v>
      </c>
      <c r="K300" s="23">
        <v>0.02</v>
      </c>
      <c r="L300" s="23">
        <v>0</v>
      </c>
      <c r="M300" s="23">
        <v>1.25</v>
      </c>
      <c r="N300" s="24" t="e">
        <f>MAX(0,F300-H300-#REF!)*J300/1000000 + H300*K300/1000000 +#REF!* L300/1000000</f>
        <v>#REF!</v>
      </c>
      <c r="O300" s="24">
        <f t="shared" si="11"/>
        <v>3.0249999999999998E-4</v>
      </c>
      <c r="P300" s="24" t="e">
        <f t="shared" si="12"/>
        <v>#REF!</v>
      </c>
      <c r="Q300" s="22" t="s">
        <v>122</v>
      </c>
      <c r="R300" s="22" t="s">
        <v>108</v>
      </c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</row>
    <row r="301" spans="1:45" ht="44" customHeight="1">
      <c r="A301" s="25" t="s">
        <v>25</v>
      </c>
      <c r="B301" s="26" t="s">
        <v>103</v>
      </c>
      <c r="C301" s="25" t="s">
        <v>123</v>
      </c>
      <c r="D301" s="25" t="s">
        <v>112</v>
      </c>
      <c r="E301" s="26" t="s">
        <v>106</v>
      </c>
      <c r="F301" s="26">
        <v>5140</v>
      </c>
      <c r="G301" s="26">
        <v>244</v>
      </c>
      <c r="H301" s="26">
        <v>0</v>
      </c>
      <c r="I301" s="26">
        <v>5384</v>
      </c>
      <c r="J301" s="26">
        <v>0.2</v>
      </c>
      <c r="K301" s="26">
        <v>0.02</v>
      </c>
      <c r="L301" s="26">
        <v>0</v>
      </c>
      <c r="M301" s="26">
        <v>1.25</v>
      </c>
      <c r="N301" s="27" t="e">
        <f>MAX(0,F301-H301-#REF!)*J301/1000000 + H301*K301/1000000 +#REF!* L301/1000000</f>
        <v>#REF!</v>
      </c>
      <c r="O301" s="27">
        <f t="shared" si="11"/>
        <v>3.0499999999999999E-4</v>
      </c>
      <c r="P301" s="27" t="e">
        <f t="shared" si="12"/>
        <v>#REF!</v>
      </c>
      <c r="Q301" s="25" t="s">
        <v>122</v>
      </c>
      <c r="R301" s="25" t="s">
        <v>108</v>
      </c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</row>
    <row r="302" spans="1:45" ht="44" customHeight="1">
      <c r="A302" s="22" t="s">
        <v>25</v>
      </c>
      <c r="B302" s="23" t="s">
        <v>103</v>
      </c>
      <c r="C302" s="22" t="s">
        <v>123</v>
      </c>
      <c r="D302" s="22" t="s">
        <v>112</v>
      </c>
      <c r="E302" s="23" t="s">
        <v>106</v>
      </c>
      <c r="F302" s="23">
        <v>3913</v>
      </c>
      <c r="G302" s="23">
        <v>278</v>
      </c>
      <c r="H302" s="23">
        <v>0</v>
      </c>
      <c r="I302" s="23">
        <v>4191</v>
      </c>
      <c r="J302" s="23">
        <v>0.2</v>
      </c>
      <c r="K302" s="23">
        <v>0.02</v>
      </c>
      <c r="L302" s="23">
        <v>0</v>
      </c>
      <c r="M302" s="23">
        <v>1.25</v>
      </c>
      <c r="N302" s="24" t="e">
        <f>MAX(0,F302-H302-#REF!)*J302/1000000 + H302*K302/1000000 +#REF!* L302/1000000</f>
        <v>#REF!</v>
      </c>
      <c r="O302" s="24">
        <f t="shared" si="11"/>
        <v>3.4749999999999999E-4</v>
      </c>
      <c r="P302" s="24" t="e">
        <f t="shared" si="12"/>
        <v>#REF!</v>
      </c>
      <c r="Q302" s="22" t="s">
        <v>122</v>
      </c>
      <c r="R302" s="22" t="s">
        <v>108</v>
      </c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</row>
    <row r="303" spans="1:45" ht="44" customHeight="1">
      <c r="A303" s="25" t="s">
        <v>25</v>
      </c>
      <c r="B303" s="26" t="s">
        <v>103</v>
      </c>
      <c r="C303" s="25" t="s">
        <v>123</v>
      </c>
      <c r="D303" s="25" t="s">
        <v>112</v>
      </c>
      <c r="E303" s="26" t="s">
        <v>106</v>
      </c>
      <c r="F303" s="26">
        <v>2129</v>
      </c>
      <c r="G303" s="26">
        <v>499</v>
      </c>
      <c r="H303" s="26">
        <v>0</v>
      </c>
      <c r="I303" s="26">
        <v>2628</v>
      </c>
      <c r="J303" s="26">
        <v>0.2</v>
      </c>
      <c r="K303" s="26">
        <v>0.02</v>
      </c>
      <c r="L303" s="26">
        <v>0</v>
      </c>
      <c r="M303" s="26">
        <v>1.25</v>
      </c>
      <c r="N303" s="27" t="e">
        <f>MAX(0,F303-H303-#REF!)*J303/1000000 + H303*K303/1000000 +#REF!* L303/1000000</f>
        <v>#REF!</v>
      </c>
      <c r="O303" s="27">
        <f t="shared" si="11"/>
        <v>6.2374999999999996E-4</v>
      </c>
      <c r="P303" s="27" t="e">
        <f t="shared" si="12"/>
        <v>#REF!</v>
      </c>
      <c r="Q303" s="25" t="s">
        <v>122</v>
      </c>
      <c r="R303" s="25" t="s">
        <v>108</v>
      </c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</row>
    <row r="304" spans="1:45" ht="44" customHeight="1">
      <c r="A304" s="22" t="s">
        <v>25</v>
      </c>
      <c r="B304" s="23" t="s">
        <v>103</v>
      </c>
      <c r="C304" s="22" t="s">
        <v>123</v>
      </c>
      <c r="D304" s="22" t="s">
        <v>112</v>
      </c>
      <c r="E304" s="23" t="s">
        <v>106</v>
      </c>
      <c r="F304" s="23">
        <v>2093</v>
      </c>
      <c r="G304" s="23">
        <v>542</v>
      </c>
      <c r="H304" s="23">
        <v>0</v>
      </c>
      <c r="I304" s="23">
        <v>2635</v>
      </c>
      <c r="J304" s="23">
        <v>0.2</v>
      </c>
      <c r="K304" s="23">
        <v>0.02</v>
      </c>
      <c r="L304" s="23">
        <v>0</v>
      </c>
      <c r="M304" s="23">
        <v>1.25</v>
      </c>
      <c r="N304" s="24" t="e">
        <f>MAX(0,F304-H304-#REF!)*J304/1000000 + H304*K304/1000000 +#REF!* L304/1000000</f>
        <v>#REF!</v>
      </c>
      <c r="O304" s="24">
        <f t="shared" si="11"/>
        <v>6.7750000000000004E-4</v>
      </c>
      <c r="P304" s="24" t="e">
        <f t="shared" si="12"/>
        <v>#REF!</v>
      </c>
      <c r="Q304" s="22" t="s">
        <v>122</v>
      </c>
      <c r="R304" s="22" t="s">
        <v>108</v>
      </c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</row>
    <row r="305" spans="1:45" ht="44" customHeight="1">
      <c r="A305" s="25" t="s">
        <v>25</v>
      </c>
      <c r="B305" s="26" t="s">
        <v>103</v>
      </c>
      <c r="C305" s="25" t="s">
        <v>123</v>
      </c>
      <c r="D305" s="25" t="s">
        <v>112</v>
      </c>
      <c r="E305" s="26" t="s">
        <v>106</v>
      </c>
      <c r="F305" s="26">
        <v>1484</v>
      </c>
      <c r="G305" s="26">
        <v>532</v>
      </c>
      <c r="H305" s="26">
        <v>0</v>
      </c>
      <c r="I305" s="26">
        <v>2016</v>
      </c>
      <c r="J305" s="26">
        <v>0.2</v>
      </c>
      <c r="K305" s="26">
        <v>0.02</v>
      </c>
      <c r="L305" s="26">
        <v>0</v>
      </c>
      <c r="M305" s="26">
        <v>1.25</v>
      </c>
      <c r="N305" s="27" t="e">
        <f>MAX(0,F305-H305-#REF!)*J305/1000000 + H305*K305/1000000 +#REF!* L305/1000000</f>
        <v>#REF!</v>
      </c>
      <c r="O305" s="27">
        <f t="shared" si="11"/>
        <v>6.6500000000000001E-4</v>
      </c>
      <c r="P305" s="27" t="e">
        <f t="shared" si="12"/>
        <v>#REF!</v>
      </c>
      <c r="Q305" s="25" t="s">
        <v>122</v>
      </c>
      <c r="R305" s="25" t="s">
        <v>108</v>
      </c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</row>
    <row r="306" spans="1:45" ht="44" customHeight="1">
      <c r="A306" s="22" t="s">
        <v>25</v>
      </c>
      <c r="B306" s="23" t="s">
        <v>103</v>
      </c>
      <c r="C306" s="22" t="s">
        <v>123</v>
      </c>
      <c r="D306" s="22" t="s">
        <v>112</v>
      </c>
      <c r="E306" s="23" t="s">
        <v>106</v>
      </c>
      <c r="F306" s="23">
        <v>2022</v>
      </c>
      <c r="G306" s="23">
        <v>642</v>
      </c>
      <c r="H306" s="23">
        <v>0</v>
      </c>
      <c r="I306" s="23">
        <v>2664</v>
      </c>
      <c r="J306" s="23">
        <v>0.2</v>
      </c>
      <c r="K306" s="23">
        <v>0.02</v>
      </c>
      <c r="L306" s="23">
        <v>0</v>
      </c>
      <c r="M306" s="23">
        <v>1.25</v>
      </c>
      <c r="N306" s="24" t="e">
        <f>MAX(0,F306-H306-#REF!)*J306/1000000 + H306*K306/1000000 +#REF!* L306/1000000</f>
        <v>#REF!</v>
      </c>
      <c r="O306" s="24">
        <f t="shared" si="11"/>
        <v>8.0250000000000004E-4</v>
      </c>
      <c r="P306" s="24" t="e">
        <f t="shared" si="12"/>
        <v>#REF!</v>
      </c>
      <c r="Q306" s="22" t="s">
        <v>122</v>
      </c>
      <c r="R306" s="22" t="s">
        <v>108</v>
      </c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</row>
    <row r="307" spans="1:45" ht="44" customHeight="1">
      <c r="A307" s="25" t="s">
        <v>25</v>
      </c>
      <c r="B307" s="26" t="s">
        <v>103</v>
      </c>
      <c r="C307" s="25" t="s">
        <v>123</v>
      </c>
      <c r="D307" s="25" t="s">
        <v>112</v>
      </c>
      <c r="E307" s="26" t="s">
        <v>106</v>
      </c>
      <c r="F307" s="26">
        <v>2260</v>
      </c>
      <c r="G307" s="26">
        <v>628</v>
      </c>
      <c r="H307" s="26">
        <v>0</v>
      </c>
      <c r="I307" s="26">
        <v>2888</v>
      </c>
      <c r="J307" s="26">
        <v>0.2</v>
      </c>
      <c r="K307" s="26">
        <v>0.02</v>
      </c>
      <c r="L307" s="26">
        <v>0</v>
      </c>
      <c r="M307" s="26">
        <v>1.25</v>
      </c>
      <c r="N307" s="27" t="e">
        <f>MAX(0,F307-H307-#REF!)*J307/1000000 + H307*K307/1000000 +#REF!* L307/1000000</f>
        <v>#REF!</v>
      </c>
      <c r="O307" s="27">
        <f t="shared" si="11"/>
        <v>7.85E-4</v>
      </c>
      <c r="P307" s="27" t="e">
        <f t="shared" si="12"/>
        <v>#REF!</v>
      </c>
      <c r="Q307" s="25" t="s">
        <v>122</v>
      </c>
      <c r="R307" s="25" t="s">
        <v>108</v>
      </c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</row>
    <row r="308" spans="1:45" ht="44" customHeight="1">
      <c r="A308" s="22" t="s">
        <v>25</v>
      </c>
      <c r="B308" s="23" t="s">
        <v>103</v>
      </c>
      <c r="C308" s="22" t="s">
        <v>123</v>
      </c>
      <c r="D308" s="22" t="s">
        <v>112</v>
      </c>
      <c r="E308" s="23" t="s">
        <v>106</v>
      </c>
      <c r="F308" s="23">
        <v>3781</v>
      </c>
      <c r="G308" s="23">
        <v>1079</v>
      </c>
      <c r="H308" s="23">
        <v>0</v>
      </c>
      <c r="I308" s="23">
        <v>4860</v>
      </c>
      <c r="J308" s="23">
        <v>0.2</v>
      </c>
      <c r="K308" s="23">
        <v>0.02</v>
      </c>
      <c r="L308" s="23">
        <v>0</v>
      </c>
      <c r="M308" s="23">
        <v>1.25</v>
      </c>
      <c r="N308" s="24" t="e">
        <f>MAX(0,F308-H308-#REF!)*J308/1000000 + H308*K308/1000000 +#REF!* L308/1000000</f>
        <v>#REF!</v>
      </c>
      <c r="O308" s="24">
        <f t="shared" si="11"/>
        <v>1.3487499999999999E-3</v>
      </c>
      <c r="P308" s="24" t="e">
        <f t="shared" si="12"/>
        <v>#REF!</v>
      </c>
      <c r="Q308" s="22" t="s">
        <v>122</v>
      </c>
      <c r="R308" s="22" t="s">
        <v>108</v>
      </c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</row>
    <row r="309" spans="1:45" ht="44" customHeight="1">
      <c r="A309" s="25" t="s">
        <v>26</v>
      </c>
      <c r="B309" s="26" t="s">
        <v>103</v>
      </c>
      <c r="C309" s="25" t="s">
        <v>124</v>
      </c>
      <c r="D309" s="25" t="s">
        <v>105</v>
      </c>
      <c r="E309" s="26" t="s">
        <v>106</v>
      </c>
      <c r="F309" s="26">
        <v>5400</v>
      </c>
      <c r="G309" s="26">
        <v>425</v>
      </c>
      <c r="H309" s="26">
        <v>4864</v>
      </c>
      <c r="I309" s="26">
        <v>5825</v>
      </c>
      <c r="J309" s="26">
        <v>2.5</v>
      </c>
      <c r="K309" s="26">
        <v>0.25</v>
      </c>
      <c r="L309" s="26">
        <v>0</v>
      </c>
      <c r="M309" s="26">
        <v>15</v>
      </c>
      <c r="N309" s="27" t="e">
        <f>MAX(0,F309-H309-#REF!)*J309/1000000 + H309*K309/1000000 +#REF!* L309/1000000</f>
        <v>#REF!</v>
      </c>
      <c r="O309" s="27">
        <f t="shared" si="11"/>
        <v>6.3749999999999996E-3</v>
      </c>
      <c r="P309" s="27" t="e">
        <f t="shared" si="12"/>
        <v>#REF!</v>
      </c>
      <c r="Q309" s="25" t="s">
        <v>122</v>
      </c>
      <c r="R309" s="25" t="s">
        <v>108</v>
      </c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</row>
    <row r="310" spans="1:45" ht="44" customHeight="1">
      <c r="A310" s="22" t="s">
        <v>26</v>
      </c>
      <c r="B310" s="23" t="s">
        <v>103</v>
      </c>
      <c r="C310" s="22" t="s">
        <v>124</v>
      </c>
      <c r="D310" s="22" t="s">
        <v>109</v>
      </c>
      <c r="E310" s="23" t="s">
        <v>106</v>
      </c>
      <c r="F310" s="23">
        <v>2236</v>
      </c>
      <c r="G310" s="23">
        <v>14</v>
      </c>
      <c r="H310" s="23">
        <v>1792</v>
      </c>
      <c r="I310" s="23">
        <v>2250</v>
      </c>
      <c r="J310" s="23">
        <v>2.5</v>
      </c>
      <c r="K310" s="23">
        <v>0.25</v>
      </c>
      <c r="L310" s="23">
        <v>0</v>
      </c>
      <c r="M310" s="23">
        <v>15</v>
      </c>
      <c r="N310" s="24" t="e">
        <f>MAX(0,F310-H310-#REF!)*J310/1000000 + H310*K310/1000000 +#REF!* L310/1000000</f>
        <v>#REF!</v>
      </c>
      <c r="O310" s="24">
        <f t="shared" si="11"/>
        <v>2.1000000000000001E-4</v>
      </c>
      <c r="P310" s="24" t="e">
        <f t="shared" si="12"/>
        <v>#REF!</v>
      </c>
      <c r="Q310" s="22" t="s">
        <v>122</v>
      </c>
      <c r="R310" s="22" t="s">
        <v>108</v>
      </c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</row>
    <row r="311" spans="1:45" ht="44" customHeight="1">
      <c r="A311" s="25" t="s">
        <v>26</v>
      </c>
      <c r="B311" s="26" t="s">
        <v>103</v>
      </c>
      <c r="C311" s="25" t="s">
        <v>124</v>
      </c>
      <c r="D311" s="25" t="s">
        <v>109</v>
      </c>
      <c r="E311" s="26" t="s">
        <v>106</v>
      </c>
      <c r="F311" s="26">
        <v>7415</v>
      </c>
      <c r="G311" s="26">
        <v>14</v>
      </c>
      <c r="H311" s="26">
        <v>6912</v>
      </c>
      <c r="I311" s="26">
        <v>7429</v>
      </c>
      <c r="J311" s="26">
        <v>2.5</v>
      </c>
      <c r="K311" s="26">
        <v>0.25</v>
      </c>
      <c r="L311" s="26">
        <v>0</v>
      </c>
      <c r="M311" s="26">
        <v>15</v>
      </c>
      <c r="N311" s="27" t="e">
        <f>MAX(0,F311-H311-#REF!)*J311/1000000 + H311*K311/1000000 +#REF!* L311/1000000</f>
        <v>#REF!</v>
      </c>
      <c r="O311" s="27">
        <f t="shared" si="11"/>
        <v>2.1000000000000001E-4</v>
      </c>
      <c r="P311" s="27" t="e">
        <f t="shared" si="12"/>
        <v>#REF!</v>
      </c>
      <c r="Q311" s="25" t="s">
        <v>122</v>
      </c>
      <c r="R311" s="25" t="s">
        <v>108</v>
      </c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</row>
    <row r="312" spans="1:45" ht="44" customHeight="1">
      <c r="A312" s="22" t="s">
        <v>26</v>
      </c>
      <c r="B312" s="23" t="s">
        <v>103</v>
      </c>
      <c r="C312" s="22" t="s">
        <v>124</v>
      </c>
      <c r="D312" s="22" t="s">
        <v>109</v>
      </c>
      <c r="E312" s="23" t="s">
        <v>106</v>
      </c>
      <c r="F312" s="23">
        <v>1764</v>
      </c>
      <c r="G312" s="23">
        <v>14</v>
      </c>
      <c r="H312" s="23">
        <v>0</v>
      </c>
      <c r="I312" s="23">
        <v>1778</v>
      </c>
      <c r="J312" s="23">
        <v>2.5</v>
      </c>
      <c r="K312" s="23">
        <v>0.25</v>
      </c>
      <c r="L312" s="23">
        <v>0</v>
      </c>
      <c r="M312" s="23">
        <v>15</v>
      </c>
      <c r="N312" s="24" t="e">
        <f>MAX(0,F312-H312-#REF!)*J312/1000000 + H312*K312/1000000 +#REF!* L312/1000000</f>
        <v>#REF!</v>
      </c>
      <c r="O312" s="24">
        <f t="shared" si="11"/>
        <v>2.1000000000000001E-4</v>
      </c>
      <c r="P312" s="24" t="e">
        <f t="shared" si="12"/>
        <v>#REF!</v>
      </c>
      <c r="Q312" s="22" t="s">
        <v>122</v>
      </c>
      <c r="R312" s="22" t="s">
        <v>108</v>
      </c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</row>
    <row r="313" spans="1:45" ht="44" customHeight="1">
      <c r="A313" s="25" t="s">
        <v>26</v>
      </c>
      <c r="B313" s="26" t="s">
        <v>103</v>
      </c>
      <c r="C313" s="25" t="s">
        <v>124</v>
      </c>
      <c r="D313" s="25" t="s">
        <v>109</v>
      </c>
      <c r="E313" s="26" t="s">
        <v>106</v>
      </c>
      <c r="F313" s="26">
        <v>1468</v>
      </c>
      <c r="G313" s="26">
        <v>14</v>
      </c>
      <c r="H313" s="26">
        <v>0</v>
      </c>
      <c r="I313" s="26">
        <v>1482</v>
      </c>
      <c r="J313" s="26">
        <v>2.5</v>
      </c>
      <c r="K313" s="26">
        <v>0.25</v>
      </c>
      <c r="L313" s="26">
        <v>0</v>
      </c>
      <c r="M313" s="26">
        <v>15</v>
      </c>
      <c r="N313" s="27" t="e">
        <f>MAX(0,F313-H313-#REF!)*J313/1000000 + H313*K313/1000000 +#REF!* L313/1000000</f>
        <v>#REF!</v>
      </c>
      <c r="O313" s="27">
        <f t="shared" si="11"/>
        <v>2.1000000000000001E-4</v>
      </c>
      <c r="P313" s="27" t="e">
        <f t="shared" si="12"/>
        <v>#REF!</v>
      </c>
      <c r="Q313" s="25" t="s">
        <v>122</v>
      </c>
      <c r="R313" s="25" t="s">
        <v>108</v>
      </c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</row>
    <row r="314" spans="1:45" ht="44" customHeight="1">
      <c r="A314" s="22" t="s">
        <v>26</v>
      </c>
      <c r="B314" s="23" t="s">
        <v>103</v>
      </c>
      <c r="C314" s="22" t="s">
        <v>124</v>
      </c>
      <c r="D314" s="22" t="s">
        <v>109</v>
      </c>
      <c r="E314" s="23" t="s">
        <v>106</v>
      </c>
      <c r="F314" s="23">
        <v>4443</v>
      </c>
      <c r="G314" s="23">
        <v>14</v>
      </c>
      <c r="H314" s="23">
        <v>3840</v>
      </c>
      <c r="I314" s="23">
        <v>4457</v>
      </c>
      <c r="J314" s="23">
        <v>2.5</v>
      </c>
      <c r="K314" s="23">
        <v>0.25</v>
      </c>
      <c r="L314" s="23">
        <v>0</v>
      </c>
      <c r="M314" s="23">
        <v>15</v>
      </c>
      <c r="N314" s="24" t="e">
        <f>MAX(0,F314-H314-#REF!)*J314/1000000 + H314*K314/1000000 +#REF!* L314/1000000</f>
        <v>#REF!</v>
      </c>
      <c r="O314" s="24">
        <f t="shared" si="11"/>
        <v>2.1000000000000001E-4</v>
      </c>
      <c r="P314" s="24" t="e">
        <f t="shared" si="12"/>
        <v>#REF!</v>
      </c>
      <c r="Q314" s="22" t="s">
        <v>122</v>
      </c>
      <c r="R314" s="22" t="s">
        <v>108</v>
      </c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</row>
    <row r="315" spans="1:45" ht="44" customHeight="1">
      <c r="A315" s="25" t="s">
        <v>26</v>
      </c>
      <c r="B315" s="26" t="s">
        <v>103</v>
      </c>
      <c r="C315" s="25" t="s">
        <v>124</v>
      </c>
      <c r="D315" s="25" t="s">
        <v>109</v>
      </c>
      <c r="E315" s="26" t="s">
        <v>106</v>
      </c>
      <c r="F315" s="26">
        <v>2660</v>
      </c>
      <c r="G315" s="26">
        <v>14</v>
      </c>
      <c r="H315" s="26">
        <v>1792</v>
      </c>
      <c r="I315" s="26">
        <v>2674</v>
      </c>
      <c r="J315" s="26">
        <v>2.5</v>
      </c>
      <c r="K315" s="26">
        <v>0.25</v>
      </c>
      <c r="L315" s="26">
        <v>0</v>
      </c>
      <c r="M315" s="26">
        <v>15</v>
      </c>
      <c r="N315" s="27" t="e">
        <f>MAX(0,F315-H315-#REF!)*J315/1000000 + H315*K315/1000000 +#REF!* L315/1000000</f>
        <v>#REF!</v>
      </c>
      <c r="O315" s="27">
        <f t="shared" si="11"/>
        <v>2.1000000000000001E-4</v>
      </c>
      <c r="P315" s="27" t="e">
        <f t="shared" si="12"/>
        <v>#REF!</v>
      </c>
      <c r="Q315" s="25" t="s">
        <v>122</v>
      </c>
      <c r="R315" s="25" t="s">
        <v>108</v>
      </c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</row>
    <row r="316" spans="1:45" ht="44" customHeight="1">
      <c r="A316" s="22" t="s">
        <v>26</v>
      </c>
      <c r="B316" s="23" t="s">
        <v>103</v>
      </c>
      <c r="C316" s="22" t="s">
        <v>124</v>
      </c>
      <c r="D316" s="22" t="s">
        <v>109</v>
      </c>
      <c r="E316" s="23" t="s">
        <v>106</v>
      </c>
      <c r="F316" s="23">
        <v>1728</v>
      </c>
      <c r="G316" s="23">
        <v>14</v>
      </c>
      <c r="H316" s="23">
        <v>0</v>
      </c>
      <c r="I316" s="23">
        <v>1742</v>
      </c>
      <c r="J316" s="23">
        <v>2.5</v>
      </c>
      <c r="K316" s="23">
        <v>0.25</v>
      </c>
      <c r="L316" s="23">
        <v>0</v>
      </c>
      <c r="M316" s="23">
        <v>15</v>
      </c>
      <c r="N316" s="24" t="e">
        <f>MAX(0,F316-H316-#REF!)*J316/1000000 + H316*K316/1000000 +#REF!* L316/1000000</f>
        <v>#REF!</v>
      </c>
      <c r="O316" s="24">
        <f t="shared" si="11"/>
        <v>2.1000000000000001E-4</v>
      </c>
      <c r="P316" s="24" t="e">
        <f t="shared" si="12"/>
        <v>#REF!</v>
      </c>
      <c r="Q316" s="22" t="s">
        <v>122</v>
      </c>
      <c r="R316" s="22" t="s">
        <v>108</v>
      </c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</row>
    <row r="317" spans="1:45" ht="44" customHeight="1">
      <c r="A317" s="25" t="s">
        <v>26</v>
      </c>
      <c r="B317" s="26" t="s">
        <v>103</v>
      </c>
      <c r="C317" s="25" t="s">
        <v>124</v>
      </c>
      <c r="D317" s="25" t="s">
        <v>109</v>
      </c>
      <c r="E317" s="26" t="s">
        <v>106</v>
      </c>
      <c r="F317" s="26">
        <v>1776</v>
      </c>
      <c r="G317" s="26">
        <v>14</v>
      </c>
      <c r="H317" s="26">
        <v>0</v>
      </c>
      <c r="I317" s="26">
        <v>1790</v>
      </c>
      <c r="J317" s="26">
        <v>2.5</v>
      </c>
      <c r="K317" s="26">
        <v>0.25</v>
      </c>
      <c r="L317" s="26">
        <v>0</v>
      </c>
      <c r="M317" s="26">
        <v>15</v>
      </c>
      <c r="N317" s="27" t="e">
        <f>MAX(0,F317-H317-#REF!)*J317/1000000 + H317*K317/1000000 +#REF!* L317/1000000</f>
        <v>#REF!</v>
      </c>
      <c r="O317" s="27">
        <f t="shared" si="11"/>
        <v>2.1000000000000001E-4</v>
      </c>
      <c r="P317" s="27" t="e">
        <f t="shared" si="12"/>
        <v>#REF!</v>
      </c>
      <c r="Q317" s="25" t="s">
        <v>122</v>
      </c>
      <c r="R317" s="25" t="s">
        <v>108</v>
      </c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</row>
    <row r="318" spans="1:45" ht="44" customHeight="1">
      <c r="A318" s="22" t="s">
        <v>26</v>
      </c>
      <c r="B318" s="23" t="s">
        <v>103</v>
      </c>
      <c r="C318" s="22" t="s">
        <v>124</v>
      </c>
      <c r="D318" s="22" t="s">
        <v>109</v>
      </c>
      <c r="E318" s="23" t="s">
        <v>106</v>
      </c>
      <c r="F318" s="23">
        <v>2730</v>
      </c>
      <c r="G318" s="23">
        <v>14</v>
      </c>
      <c r="H318" s="23">
        <v>1792</v>
      </c>
      <c r="I318" s="23">
        <v>2744</v>
      </c>
      <c r="J318" s="23">
        <v>2.5</v>
      </c>
      <c r="K318" s="23">
        <v>0.25</v>
      </c>
      <c r="L318" s="23">
        <v>0</v>
      </c>
      <c r="M318" s="23">
        <v>15</v>
      </c>
      <c r="N318" s="24" t="e">
        <f>MAX(0,F318-H318-#REF!)*J318/1000000 + H318*K318/1000000 +#REF!* L318/1000000</f>
        <v>#REF!</v>
      </c>
      <c r="O318" s="24">
        <f t="shared" si="11"/>
        <v>2.1000000000000001E-4</v>
      </c>
      <c r="P318" s="24" t="e">
        <f t="shared" si="12"/>
        <v>#REF!</v>
      </c>
      <c r="Q318" s="22" t="s">
        <v>122</v>
      </c>
      <c r="R318" s="22" t="s">
        <v>108</v>
      </c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</row>
    <row r="319" spans="1:45" ht="44" customHeight="1">
      <c r="A319" s="25" t="s">
        <v>26</v>
      </c>
      <c r="B319" s="26" t="s">
        <v>103</v>
      </c>
      <c r="C319" s="25" t="s">
        <v>124</v>
      </c>
      <c r="D319" s="25" t="s">
        <v>109</v>
      </c>
      <c r="E319" s="26" t="s">
        <v>106</v>
      </c>
      <c r="F319" s="26">
        <v>2562</v>
      </c>
      <c r="G319" s="26">
        <v>14</v>
      </c>
      <c r="H319" s="26">
        <v>1792</v>
      </c>
      <c r="I319" s="26">
        <v>2576</v>
      </c>
      <c r="J319" s="26">
        <v>2.5</v>
      </c>
      <c r="K319" s="26">
        <v>0.25</v>
      </c>
      <c r="L319" s="26">
        <v>0</v>
      </c>
      <c r="M319" s="26">
        <v>15</v>
      </c>
      <c r="N319" s="27" t="e">
        <f>MAX(0,F319-H319-#REF!)*J319/1000000 + H319*K319/1000000 +#REF!* L319/1000000</f>
        <v>#REF!</v>
      </c>
      <c r="O319" s="27">
        <f t="shared" si="11"/>
        <v>2.1000000000000001E-4</v>
      </c>
      <c r="P319" s="27" t="e">
        <f t="shared" si="12"/>
        <v>#REF!</v>
      </c>
      <c r="Q319" s="25" t="s">
        <v>122</v>
      </c>
      <c r="R319" s="25" t="s">
        <v>108</v>
      </c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</row>
    <row r="320" spans="1:45" ht="44" customHeight="1">
      <c r="A320" s="22" t="s">
        <v>26</v>
      </c>
      <c r="B320" s="23" t="s">
        <v>103</v>
      </c>
      <c r="C320" s="22" t="s">
        <v>124</v>
      </c>
      <c r="D320" s="22" t="s">
        <v>109</v>
      </c>
      <c r="E320" s="23" t="s">
        <v>106</v>
      </c>
      <c r="F320" s="23">
        <v>5208</v>
      </c>
      <c r="G320" s="23">
        <v>14</v>
      </c>
      <c r="H320" s="23">
        <v>4864</v>
      </c>
      <c r="I320" s="23">
        <v>5222</v>
      </c>
      <c r="J320" s="23">
        <v>2.5</v>
      </c>
      <c r="K320" s="23">
        <v>0.25</v>
      </c>
      <c r="L320" s="23">
        <v>0</v>
      </c>
      <c r="M320" s="23">
        <v>15</v>
      </c>
      <c r="N320" s="24" t="e">
        <f>MAX(0,F320-H320-#REF!)*J320/1000000 + H320*K320/1000000 +#REF!* L320/1000000</f>
        <v>#REF!</v>
      </c>
      <c r="O320" s="24">
        <f t="shared" si="11"/>
        <v>2.1000000000000001E-4</v>
      </c>
      <c r="P320" s="24" t="e">
        <f t="shared" si="12"/>
        <v>#REF!</v>
      </c>
      <c r="Q320" s="22" t="s">
        <v>122</v>
      </c>
      <c r="R320" s="22" t="s">
        <v>108</v>
      </c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</row>
    <row r="321" spans="1:45" ht="44" customHeight="1">
      <c r="A321" s="25" t="s">
        <v>26</v>
      </c>
      <c r="B321" s="26" t="s">
        <v>103</v>
      </c>
      <c r="C321" s="25" t="s">
        <v>124</v>
      </c>
      <c r="D321" s="25" t="s">
        <v>109</v>
      </c>
      <c r="E321" s="26" t="s">
        <v>106</v>
      </c>
      <c r="F321" s="26">
        <v>2471</v>
      </c>
      <c r="G321" s="26">
        <v>14</v>
      </c>
      <c r="H321" s="26">
        <v>1792</v>
      </c>
      <c r="I321" s="26">
        <v>2485</v>
      </c>
      <c r="J321" s="26">
        <v>2.5</v>
      </c>
      <c r="K321" s="26">
        <v>0.25</v>
      </c>
      <c r="L321" s="26">
        <v>0</v>
      </c>
      <c r="M321" s="26">
        <v>15</v>
      </c>
      <c r="N321" s="27" t="e">
        <f>MAX(0,F321-H321-#REF!)*J321/1000000 + H321*K321/1000000 +#REF!* L321/1000000</f>
        <v>#REF!</v>
      </c>
      <c r="O321" s="27">
        <f t="shared" si="11"/>
        <v>2.1000000000000001E-4</v>
      </c>
      <c r="P321" s="27" t="e">
        <f t="shared" si="12"/>
        <v>#REF!</v>
      </c>
      <c r="Q321" s="25" t="s">
        <v>122</v>
      </c>
      <c r="R321" s="25" t="s">
        <v>108</v>
      </c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</row>
    <row r="322" spans="1:45" ht="44" customHeight="1">
      <c r="A322" s="22" t="s">
        <v>26</v>
      </c>
      <c r="B322" s="23" t="s">
        <v>103</v>
      </c>
      <c r="C322" s="22" t="s">
        <v>124</v>
      </c>
      <c r="D322" s="22" t="s">
        <v>110</v>
      </c>
      <c r="E322" s="23" t="s">
        <v>106</v>
      </c>
      <c r="F322" s="23">
        <v>2664</v>
      </c>
      <c r="G322" s="23">
        <v>14</v>
      </c>
      <c r="H322" s="23">
        <v>1792</v>
      </c>
      <c r="I322" s="23">
        <v>2678</v>
      </c>
      <c r="J322" s="23">
        <v>2.5</v>
      </c>
      <c r="K322" s="23">
        <v>0.25</v>
      </c>
      <c r="L322" s="23">
        <v>0</v>
      </c>
      <c r="M322" s="23">
        <v>15</v>
      </c>
      <c r="N322" s="24" t="e">
        <f>MAX(0,F322-H322-#REF!)*J322/1000000 + H322*K322/1000000 +#REF!* L322/1000000</f>
        <v>#REF!</v>
      </c>
      <c r="O322" s="24">
        <f t="shared" si="11"/>
        <v>2.1000000000000001E-4</v>
      </c>
      <c r="P322" s="24" t="e">
        <f t="shared" si="12"/>
        <v>#REF!</v>
      </c>
      <c r="Q322" s="22" t="s">
        <v>122</v>
      </c>
      <c r="R322" s="22" t="s">
        <v>108</v>
      </c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</row>
    <row r="323" spans="1:45" ht="44" customHeight="1">
      <c r="A323" s="25" t="s">
        <v>26</v>
      </c>
      <c r="B323" s="26" t="s">
        <v>103</v>
      </c>
      <c r="C323" s="25" t="s">
        <v>124</v>
      </c>
      <c r="D323" s="25" t="s">
        <v>110</v>
      </c>
      <c r="E323" s="26" t="s">
        <v>106</v>
      </c>
      <c r="F323" s="26">
        <v>1780</v>
      </c>
      <c r="G323" s="26">
        <v>14</v>
      </c>
      <c r="H323" s="26">
        <v>0</v>
      </c>
      <c r="I323" s="26">
        <v>1794</v>
      </c>
      <c r="J323" s="26">
        <v>2.5</v>
      </c>
      <c r="K323" s="26">
        <v>0.25</v>
      </c>
      <c r="L323" s="26">
        <v>0</v>
      </c>
      <c r="M323" s="26">
        <v>15</v>
      </c>
      <c r="N323" s="27" t="e">
        <f>MAX(0,F323-H323-#REF!)*J323/1000000 + H323*K323/1000000 +#REF!* L323/1000000</f>
        <v>#REF!</v>
      </c>
      <c r="O323" s="27">
        <f t="shared" si="11"/>
        <v>2.1000000000000001E-4</v>
      </c>
      <c r="P323" s="27" t="e">
        <f t="shared" si="12"/>
        <v>#REF!</v>
      </c>
      <c r="Q323" s="25" t="s">
        <v>122</v>
      </c>
      <c r="R323" s="25" t="s">
        <v>108</v>
      </c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</row>
    <row r="324" spans="1:45" ht="44" customHeight="1">
      <c r="A324" s="22" t="s">
        <v>26</v>
      </c>
      <c r="B324" s="23" t="s">
        <v>103</v>
      </c>
      <c r="C324" s="22" t="s">
        <v>124</v>
      </c>
      <c r="D324" s="22" t="s">
        <v>110</v>
      </c>
      <c r="E324" s="23" t="s">
        <v>106</v>
      </c>
      <c r="F324" s="23">
        <v>2734</v>
      </c>
      <c r="G324" s="23">
        <v>14</v>
      </c>
      <c r="H324" s="23">
        <v>1792</v>
      </c>
      <c r="I324" s="23">
        <v>2748</v>
      </c>
      <c r="J324" s="23">
        <v>2.5</v>
      </c>
      <c r="K324" s="23">
        <v>0.25</v>
      </c>
      <c r="L324" s="23">
        <v>0</v>
      </c>
      <c r="M324" s="23">
        <v>15</v>
      </c>
      <c r="N324" s="24" t="e">
        <f>MAX(0,F324-H324-#REF!)*J324/1000000 + H324*K324/1000000 +#REF!* L324/1000000</f>
        <v>#REF!</v>
      </c>
      <c r="O324" s="24">
        <f t="shared" si="11"/>
        <v>2.1000000000000001E-4</v>
      </c>
      <c r="P324" s="24" t="e">
        <f t="shared" si="12"/>
        <v>#REF!</v>
      </c>
      <c r="Q324" s="22" t="s">
        <v>122</v>
      </c>
      <c r="R324" s="22" t="s">
        <v>108</v>
      </c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</row>
    <row r="325" spans="1:45" ht="44" customHeight="1">
      <c r="A325" s="25" t="s">
        <v>26</v>
      </c>
      <c r="B325" s="26" t="s">
        <v>103</v>
      </c>
      <c r="C325" s="25" t="s">
        <v>124</v>
      </c>
      <c r="D325" s="25" t="s">
        <v>110</v>
      </c>
      <c r="E325" s="26" t="s">
        <v>106</v>
      </c>
      <c r="F325" s="26">
        <v>5212</v>
      </c>
      <c r="G325" s="26">
        <v>14</v>
      </c>
      <c r="H325" s="26">
        <v>4864</v>
      </c>
      <c r="I325" s="26">
        <v>5226</v>
      </c>
      <c r="J325" s="26">
        <v>2.5</v>
      </c>
      <c r="K325" s="26">
        <v>0.25</v>
      </c>
      <c r="L325" s="26">
        <v>0</v>
      </c>
      <c r="M325" s="26">
        <v>15</v>
      </c>
      <c r="N325" s="27" t="e">
        <f>MAX(0,F325-H325-#REF!)*J325/1000000 + H325*K325/1000000 +#REF!* L325/1000000</f>
        <v>#REF!</v>
      </c>
      <c r="O325" s="27">
        <f t="shared" si="11"/>
        <v>2.1000000000000001E-4</v>
      </c>
      <c r="P325" s="27" t="e">
        <f t="shared" si="12"/>
        <v>#REF!</v>
      </c>
      <c r="Q325" s="25" t="s">
        <v>122</v>
      </c>
      <c r="R325" s="25" t="s">
        <v>108</v>
      </c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</row>
    <row r="326" spans="1:45" ht="44" customHeight="1">
      <c r="A326" s="22" t="s">
        <v>26</v>
      </c>
      <c r="B326" s="23" t="s">
        <v>103</v>
      </c>
      <c r="C326" s="22" t="s">
        <v>124</v>
      </c>
      <c r="D326" s="22" t="s">
        <v>110</v>
      </c>
      <c r="E326" s="23" t="s">
        <v>106</v>
      </c>
      <c r="F326" s="23">
        <v>1768</v>
      </c>
      <c r="G326" s="23">
        <v>14</v>
      </c>
      <c r="H326" s="23">
        <v>0</v>
      </c>
      <c r="I326" s="23">
        <v>1782</v>
      </c>
      <c r="J326" s="23">
        <v>2.5</v>
      </c>
      <c r="K326" s="23">
        <v>0.25</v>
      </c>
      <c r="L326" s="23">
        <v>0</v>
      </c>
      <c r="M326" s="23">
        <v>15</v>
      </c>
      <c r="N326" s="24" t="e">
        <f>MAX(0,F326-H326-#REF!)*J326/1000000 + H326*K326/1000000 +#REF!* L326/1000000</f>
        <v>#REF!</v>
      </c>
      <c r="O326" s="24">
        <f t="shared" si="11"/>
        <v>2.1000000000000001E-4</v>
      </c>
      <c r="P326" s="24" t="e">
        <f t="shared" si="12"/>
        <v>#REF!</v>
      </c>
      <c r="Q326" s="22" t="s">
        <v>122</v>
      </c>
      <c r="R326" s="22" t="s">
        <v>108</v>
      </c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</row>
    <row r="327" spans="1:45" ht="44" customHeight="1">
      <c r="A327" s="25" t="s">
        <v>26</v>
      </c>
      <c r="B327" s="26" t="s">
        <v>103</v>
      </c>
      <c r="C327" s="25" t="s">
        <v>124</v>
      </c>
      <c r="D327" s="25" t="s">
        <v>110</v>
      </c>
      <c r="E327" s="26" t="s">
        <v>106</v>
      </c>
      <c r="F327" s="26">
        <v>1472</v>
      </c>
      <c r="G327" s="26">
        <v>14</v>
      </c>
      <c r="H327" s="26">
        <v>0</v>
      </c>
      <c r="I327" s="26">
        <v>1486</v>
      </c>
      <c r="J327" s="26">
        <v>2.5</v>
      </c>
      <c r="K327" s="26">
        <v>0.25</v>
      </c>
      <c r="L327" s="26">
        <v>0</v>
      </c>
      <c r="M327" s="26">
        <v>15</v>
      </c>
      <c r="N327" s="27" t="e">
        <f>MAX(0,F327-H327-#REF!)*J327/1000000 + H327*K327/1000000 +#REF!* L327/1000000</f>
        <v>#REF!</v>
      </c>
      <c r="O327" s="27">
        <f t="shared" si="11"/>
        <v>2.1000000000000001E-4</v>
      </c>
      <c r="P327" s="27" t="e">
        <f t="shared" si="12"/>
        <v>#REF!</v>
      </c>
      <c r="Q327" s="25" t="s">
        <v>122</v>
      </c>
      <c r="R327" s="25" t="s">
        <v>108</v>
      </c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</row>
    <row r="328" spans="1:45" ht="44" customHeight="1">
      <c r="A328" s="22" t="s">
        <v>26</v>
      </c>
      <c r="B328" s="23" t="s">
        <v>103</v>
      </c>
      <c r="C328" s="22" t="s">
        <v>124</v>
      </c>
      <c r="D328" s="22" t="s">
        <v>110</v>
      </c>
      <c r="E328" s="23" t="s">
        <v>106</v>
      </c>
      <c r="F328" s="23">
        <v>2240</v>
      </c>
      <c r="G328" s="23">
        <v>14</v>
      </c>
      <c r="H328" s="23">
        <v>1792</v>
      </c>
      <c r="I328" s="23">
        <v>2254</v>
      </c>
      <c r="J328" s="23">
        <v>2.5</v>
      </c>
      <c r="K328" s="23">
        <v>0.25</v>
      </c>
      <c r="L328" s="23">
        <v>0</v>
      </c>
      <c r="M328" s="23">
        <v>15</v>
      </c>
      <c r="N328" s="24" t="e">
        <f>MAX(0,F328-H328-#REF!)*J328/1000000 + H328*K328/1000000 +#REF!* L328/1000000</f>
        <v>#REF!</v>
      </c>
      <c r="O328" s="24">
        <f t="shared" si="11"/>
        <v>2.1000000000000001E-4</v>
      </c>
      <c r="P328" s="24" t="e">
        <f t="shared" si="12"/>
        <v>#REF!</v>
      </c>
      <c r="Q328" s="22" t="s">
        <v>122</v>
      </c>
      <c r="R328" s="22" t="s">
        <v>108</v>
      </c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</row>
    <row r="329" spans="1:45" ht="44" customHeight="1">
      <c r="A329" s="25" t="s">
        <v>26</v>
      </c>
      <c r="B329" s="26" t="s">
        <v>103</v>
      </c>
      <c r="C329" s="25" t="s">
        <v>124</v>
      </c>
      <c r="D329" s="25" t="s">
        <v>110</v>
      </c>
      <c r="E329" s="26" t="s">
        <v>106</v>
      </c>
      <c r="F329" s="26">
        <v>2566</v>
      </c>
      <c r="G329" s="26">
        <v>14</v>
      </c>
      <c r="H329" s="26">
        <v>1792</v>
      </c>
      <c r="I329" s="26">
        <v>2580</v>
      </c>
      <c r="J329" s="26">
        <v>2.5</v>
      </c>
      <c r="K329" s="26">
        <v>0.25</v>
      </c>
      <c r="L329" s="26">
        <v>0</v>
      </c>
      <c r="M329" s="26">
        <v>15</v>
      </c>
      <c r="N329" s="27" t="e">
        <f>MAX(0,F329-H329-#REF!)*J329/1000000 + H329*K329/1000000 +#REF!* L329/1000000</f>
        <v>#REF!</v>
      </c>
      <c r="O329" s="27">
        <f t="shared" si="11"/>
        <v>2.1000000000000001E-4</v>
      </c>
      <c r="P329" s="27" t="e">
        <f t="shared" si="12"/>
        <v>#REF!</v>
      </c>
      <c r="Q329" s="25" t="s">
        <v>122</v>
      </c>
      <c r="R329" s="25" t="s">
        <v>108</v>
      </c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</row>
    <row r="330" spans="1:45" ht="44" customHeight="1">
      <c r="A330" s="22" t="s">
        <v>26</v>
      </c>
      <c r="B330" s="23" t="s">
        <v>103</v>
      </c>
      <c r="C330" s="22" t="s">
        <v>124</v>
      </c>
      <c r="D330" s="22" t="s">
        <v>110</v>
      </c>
      <c r="E330" s="23" t="s">
        <v>106</v>
      </c>
      <c r="F330" s="23">
        <v>2475</v>
      </c>
      <c r="G330" s="23">
        <v>14</v>
      </c>
      <c r="H330" s="23">
        <v>1792</v>
      </c>
      <c r="I330" s="23">
        <v>2489</v>
      </c>
      <c r="J330" s="23">
        <v>2.5</v>
      </c>
      <c r="K330" s="23">
        <v>0.25</v>
      </c>
      <c r="L330" s="23">
        <v>0</v>
      </c>
      <c r="M330" s="23">
        <v>15</v>
      </c>
      <c r="N330" s="24" t="e">
        <f>MAX(0,F330-H330-#REF!)*J330/1000000 + H330*K330/1000000 +#REF!* L330/1000000</f>
        <v>#REF!</v>
      </c>
      <c r="O330" s="24">
        <f t="shared" si="11"/>
        <v>2.1000000000000001E-4</v>
      </c>
      <c r="P330" s="24" t="e">
        <f t="shared" si="12"/>
        <v>#REF!</v>
      </c>
      <c r="Q330" s="22" t="s">
        <v>122</v>
      </c>
      <c r="R330" s="22" t="s">
        <v>108</v>
      </c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</row>
    <row r="331" spans="1:45" ht="44" customHeight="1">
      <c r="A331" s="25" t="s">
        <v>26</v>
      </c>
      <c r="B331" s="26" t="s">
        <v>103</v>
      </c>
      <c r="C331" s="25" t="s">
        <v>124</v>
      </c>
      <c r="D331" s="25" t="s">
        <v>110</v>
      </c>
      <c r="E331" s="26" t="s">
        <v>106</v>
      </c>
      <c r="F331" s="26">
        <v>7419</v>
      </c>
      <c r="G331" s="26">
        <v>166</v>
      </c>
      <c r="H331" s="26">
        <v>6912</v>
      </c>
      <c r="I331" s="26">
        <v>7585</v>
      </c>
      <c r="J331" s="26">
        <v>2.5</v>
      </c>
      <c r="K331" s="26">
        <v>0.25</v>
      </c>
      <c r="L331" s="26">
        <v>0</v>
      </c>
      <c r="M331" s="26">
        <v>15</v>
      </c>
      <c r="N331" s="27" t="e">
        <f>MAX(0,F331-H331-#REF!)*J331/1000000 + H331*K331/1000000 +#REF!* L331/1000000</f>
        <v>#REF!</v>
      </c>
      <c r="O331" s="27">
        <f t="shared" si="11"/>
        <v>2.49E-3</v>
      </c>
      <c r="P331" s="27" t="e">
        <f t="shared" si="12"/>
        <v>#REF!</v>
      </c>
      <c r="Q331" s="25" t="s">
        <v>122</v>
      </c>
      <c r="R331" s="25" t="s">
        <v>108</v>
      </c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</row>
    <row r="332" spans="1:45" ht="44" customHeight="1">
      <c r="A332" s="22" t="s">
        <v>26</v>
      </c>
      <c r="B332" s="23" t="s">
        <v>103</v>
      </c>
      <c r="C332" s="22" t="s">
        <v>124</v>
      </c>
      <c r="D332" s="22" t="s">
        <v>110</v>
      </c>
      <c r="E332" s="23" t="s">
        <v>106</v>
      </c>
      <c r="F332" s="23">
        <v>1732</v>
      </c>
      <c r="G332" s="23">
        <v>177</v>
      </c>
      <c r="H332" s="23">
        <v>0</v>
      </c>
      <c r="I332" s="23">
        <v>1909</v>
      </c>
      <c r="J332" s="23">
        <v>2.5</v>
      </c>
      <c r="K332" s="23">
        <v>0.25</v>
      </c>
      <c r="L332" s="23">
        <v>0</v>
      </c>
      <c r="M332" s="23">
        <v>15</v>
      </c>
      <c r="N332" s="24" t="e">
        <f>MAX(0,F332-H332-#REF!)*J332/1000000 + H332*K332/1000000 +#REF!* L332/1000000</f>
        <v>#REF!</v>
      </c>
      <c r="O332" s="24">
        <f t="shared" si="11"/>
        <v>2.6549999999999998E-3</v>
      </c>
      <c r="P332" s="24" t="e">
        <f t="shared" si="12"/>
        <v>#REF!</v>
      </c>
      <c r="Q332" s="22" t="s">
        <v>122</v>
      </c>
      <c r="R332" s="22" t="s">
        <v>108</v>
      </c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</row>
    <row r="333" spans="1:45" ht="44" customHeight="1">
      <c r="A333" s="25" t="s">
        <v>26</v>
      </c>
      <c r="B333" s="26" t="s">
        <v>103</v>
      </c>
      <c r="C333" s="25" t="s">
        <v>124</v>
      </c>
      <c r="D333" s="25" t="s">
        <v>110</v>
      </c>
      <c r="E333" s="26" t="s">
        <v>106</v>
      </c>
      <c r="F333" s="26">
        <v>4447</v>
      </c>
      <c r="G333" s="26">
        <v>189</v>
      </c>
      <c r="H333" s="26">
        <v>3840</v>
      </c>
      <c r="I333" s="26">
        <v>4636</v>
      </c>
      <c r="J333" s="26">
        <v>2.5</v>
      </c>
      <c r="K333" s="26">
        <v>0.25</v>
      </c>
      <c r="L333" s="26">
        <v>0</v>
      </c>
      <c r="M333" s="26">
        <v>15</v>
      </c>
      <c r="N333" s="27" t="e">
        <f>MAX(0,F333-H333-#REF!)*J333/1000000 + H333*K333/1000000 +#REF!* L333/1000000</f>
        <v>#REF!</v>
      </c>
      <c r="O333" s="27">
        <f t="shared" si="11"/>
        <v>2.8349999999999998E-3</v>
      </c>
      <c r="P333" s="27" t="e">
        <f t="shared" si="12"/>
        <v>#REF!</v>
      </c>
      <c r="Q333" s="25" t="s">
        <v>122</v>
      </c>
      <c r="R333" s="25" t="s">
        <v>108</v>
      </c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</row>
    <row r="334" spans="1:45" ht="44" customHeight="1">
      <c r="A334" s="22" t="s">
        <v>26</v>
      </c>
      <c r="B334" s="23" t="s">
        <v>103</v>
      </c>
      <c r="C334" s="22" t="s">
        <v>124</v>
      </c>
      <c r="D334" s="22" t="s">
        <v>111</v>
      </c>
      <c r="E334" s="23" t="s">
        <v>106</v>
      </c>
      <c r="F334" s="23">
        <v>1300</v>
      </c>
      <c r="G334" s="23">
        <v>14</v>
      </c>
      <c r="H334" s="23">
        <v>0</v>
      </c>
      <c r="I334" s="23">
        <v>1314</v>
      </c>
      <c r="J334" s="23">
        <v>2.5</v>
      </c>
      <c r="K334" s="23">
        <v>0.25</v>
      </c>
      <c r="L334" s="23">
        <v>0</v>
      </c>
      <c r="M334" s="23">
        <v>15</v>
      </c>
      <c r="N334" s="24" t="e">
        <f>MAX(0,F334-H334-#REF!)*J334/1000000 + H334*K334/1000000 +#REF!* L334/1000000</f>
        <v>#REF!</v>
      </c>
      <c r="O334" s="24">
        <f t="shared" si="11"/>
        <v>2.1000000000000001E-4</v>
      </c>
      <c r="P334" s="24" t="e">
        <f t="shared" si="12"/>
        <v>#REF!</v>
      </c>
      <c r="Q334" s="22" t="s">
        <v>122</v>
      </c>
      <c r="R334" s="22" t="s">
        <v>108</v>
      </c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</row>
    <row r="335" spans="1:45" ht="44" customHeight="1">
      <c r="A335" s="25" t="s">
        <v>26</v>
      </c>
      <c r="B335" s="26" t="s">
        <v>103</v>
      </c>
      <c r="C335" s="25" t="s">
        <v>124</v>
      </c>
      <c r="D335" s="25" t="s">
        <v>111</v>
      </c>
      <c r="E335" s="26" t="s">
        <v>106</v>
      </c>
      <c r="F335" s="26">
        <v>3979</v>
      </c>
      <c r="G335" s="26">
        <v>14</v>
      </c>
      <c r="H335" s="26">
        <v>3840</v>
      </c>
      <c r="I335" s="26">
        <v>3993</v>
      </c>
      <c r="J335" s="26">
        <v>2.5</v>
      </c>
      <c r="K335" s="26">
        <v>0.25</v>
      </c>
      <c r="L335" s="26">
        <v>0</v>
      </c>
      <c r="M335" s="26">
        <v>15</v>
      </c>
      <c r="N335" s="27" t="e">
        <f>MAX(0,F335-H335-#REF!)*J335/1000000 + H335*K335/1000000 +#REF!* L335/1000000</f>
        <v>#REF!</v>
      </c>
      <c r="O335" s="27">
        <f t="shared" si="11"/>
        <v>2.1000000000000001E-4</v>
      </c>
      <c r="P335" s="27" t="e">
        <f t="shared" si="12"/>
        <v>#REF!</v>
      </c>
      <c r="Q335" s="25" t="s">
        <v>122</v>
      </c>
      <c r="R335" s="25" t="s">
        <v>108</v>
      </c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</row>
    <row r="336" spans="1:45" ht="44" customHeight="1">
      <c r="A336" s="22" t="s">
        <v>26</v>
      </c>
      <c r="B336" s="23" t="s">
        <v>103</v>
      </c>
      <c r="C336" s="22" t="s">
        <v>124</v>
      </c>
      <c r="D336" s="22" t="s">
        <v>111</v>
      </c>
      <c r="E336" s="23" t="s">
        <v>106</v>
      </c>
      <c r="F336" s="23">
        <v>4744</v>
      </c>
      <c r="G336" s="23">
        <v>14</v>
      </c>
      <c r="H336" s="23">
        <v>3840</v>
      </c>
      <c r="I336" s="23">
        <v>4758</v>
      </c>
      <c r="J336" s="23">
        <v>2.5</v>
      </c>
      <c r="K336" s="23">
        <v>0.25</v>
      </c>
      <c r="L336" s="23">
        <v>0</v>
      </c>
      <c r="M336" s="23">
        <v>15</v>
      </c>
      <c r="N336" s="24" t="e">
        <f>MAX(0,F336-H336-#REF!)*J336/1000000 + H336*K336/1000000 +#REF!* L336/1000000</f>
        <v>#REF!</v>
      </c>
      <c r="O336" s="24">
        <f t="shared" si="11"/>
        <v>2.1000000000000001E-4</v>
      </c>
      <c r="P336" s="24" t="e">
        <f t="shared" si="12"/>
        <v>#REF!</v>
      </c>
      <c r="Q336" s="22" t="s">
        <v>122</v>
      </c>
      <c r="R336" s="22" t="s">
        <v>108</v>
      </c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</row>
    <row r="337" spans="1:45" ht="44" customHeight="1">
      <c r="A337" s="25" t="s">
        <v>26</v>
      </c>
      <c r="B337" s="26" t="s">
        <v>103</v>
      </c>
      <c r="C337" s="25" t="s">
        <v>124</v>
      </c>
      <c r="D337" s="25" t="s">
        <v>111</v>
      </c>
      <c r="E337" s="26" t="s">
        <v>106</v>
      </c>
      <c r="F337" s="26">
        <v>6951</v>
      </c>
      <c r="G337" s="26">
        <v>14</v>
      </c>
      <c r="H337" s="26">
        <v>5888</v>
      </c>
      <c r="I337" s="26">
        <v>6965</v>
      </c>
      <c r="J337" s="26">
        <v>2.5</v>
      </c>
      <c r="K337" s="26">
        <v>0.25</v>
      </c>
      <c r="L337" s="26">
        <v>0</v>
      </c>
      <c r="M337" s="26">
        <v>15</v>
      </c>
      <c r="N337" s="27" t="e">
        <f>MAX(0,F337-H337-#REF!)*J337/1000000 + H337*K337/1000000 +#REF!* L337/1000000</f>
        <v>#REF!</v>
      </c>
      <c r="O337" s="27">
        <f t="shared" si="11"/>
        <v>2.1000000000000001E-4</v>
      </c>
      <c r="P337" s="27" t="e">
        <f t="shared" si="12"/>
        <v>#REF!</v>
      </c>
      <c r="Q337" s="25" t="s">
        <v>122</v>
      </c>
      <c r="R337" s="25" t="s">
        <v>108</v>
      </c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</row>
    <row r="338" spans="1:45" ht="44" customHeight="1">
      <c r="A338" s="22" t="s">
        <v>26</v>
      </c>
      <c r="B338" s="23" t="s">
        <v>103</v>
      </c>
      <c r="C338" s="22" t="s">
        <v>124</v>
      </c>
      <c r="D338" s="22" t="s">
        <v>111</v>
      </c>
      <c r="E338" s="23" t="s">
        <v>106</v>
      </c>
      <c r="F338" s="23">
        <v>1772</v>
      </c>
      <c r="G338" s="23">
        <v>14</v>
      </c>
      <c r="H338" s="23">
        <v>0</v>
      </c>
      <c r="I338" s="23">
        <v>1786</v>
      </c>
      <c r="J338" s="23">
        <v>2.5</v>
      </c>
      <c r="K338" s="23">
        <v>0.25</v>
      </c>
      <c r="L338" s="23">
        <v>0</v>
      </c>
      <c r="M338" s="23">
        <v>15</v>
      </c>
      <c r="N338" s="24" t="e">
        <f>MAX(0,F338-H338-#REF!)*J338/1000000 + H338*K338/1000000 +#REF!* L338/1000000</f>
        <v>#REF!</v>
      </c>
      <c r="O338" s="24">
        <f t="shared" si="11"/>
        <v>2.1000000000000001E-4</v>
      </c>
      <c r="P338" s="24" t="e">
        <f t="shared" si="12"/>
        <v>#REF!</v>
      </c>
      <c r="Q338" s="22" t="s">
        <v>122</v>
      </c>
      <c r="R338" s="22" t="s">
        <v>108</v>
      </c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</row>
    <row r="339" spans="1:45" ht="44" customHeight="1">
      <c r="A339" s="25" t="s">
        <v>26</v>
      </c>
      <c r="B339" s="26" t="s">
        <v>103</v>
      </c>
      <c r="C339" s="25" t="s">
        <v>124</v>
      </c>
      <c r="D339" s="25" t="s">
        <v>111</v>
      </c>
      <c r="E339" s="26" t="s">
        <v>106</v>
      </c>
      <c r="F339" s="26">
        <v>1004</v>
      </c>
      <c r="G339" s="26">
        <v>14</v>
      </c>
      <c r="H339" s="26">
        <v>0</v>
      </c>
      <c r="I339" s="26">
        <v>1018</v>
      </c>
      <c r="J339" s="26">
        <v>2.5</v>
      </c>
      <c r="K339" s="26">
        <v>0.25</v>
      </c>
      <c r="L339" s="26">
        <v>0</v>
      </c>
      <c r="M339" s="26">
        <v>15</v>
      </c>
      <c r="N339" s="27" t="e">
        <f>MAX(0,F339-H339-#REF!)*J339/1000000 + H339*K339/1000000 +#REF!* L339/1000000</f>
        <v>#REF!</v>
      </c>
      <c r="O339" s="27">
        <f t="shared" si="11"/>
        <v>2.1000000000000001E-4</v>
      </c>
      <c r="P339" s="27" t="e">
        <f t="shared" si="12"/>
        <v>#REF!</v>
      </c>
      <c r="Q339" s="25" t="s">
        <v>122</v>
      </c>
      <c r="R339" s="25" t="s">
        <v>108</v>
      </c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</row>
    <row r="340" spans="1:45" ht="44" customHeight="1">
      <c r="A340" s="22" t="s">
        <v>26</v>
      </c>
      <c r="B340" s="23" t="s">
        <v>103</v>
      </c>
      <c r="C340" s="22" t="s">
        <v>124</v>
      </c>
      <c r="D340" s="22" t="s">
        <v>111</v>
      </c>
      <c r="E340" s="23" t="s">
        <v>106</v>
      </c>
      <c r="F340" s="23">
        <v>1264</v>
      </c>
      <c r="G340" s="23">
        <v>14</v>
      </c>
      <c r="H340" s="23">
        <v>0</v>
      </c>
      <c r="I340" s="23">
        <v>1278</v>
      </c>
      <c r="J340" s="23">
        <v>2.5</v>
      </c>
      <c r="K340" s="23">
        <v>0.25</v>
      </c>
      <c r="L340" s="23">
        <v>0</v>
      </c>
      <c r="M340" s="23">
        <v>15</v>
      </c>
      <c r="N340" s="24" t="e">
        <f>MAX(0,F340-H340-#REF!)*J340/1000000 + H340*K340/1000000 +#REF!* L340/1000000</f>
        <v>#REF!</v>
      </c>
      <c r="O340" s="24">
        <f t="shared" si="11"/>
        <v>2.1000000000000001E-4</v>
      </c>
      <c r="P340" s="24" t="e">
        <f t="shared" si="12"/>
        <v>#REF!</v>
      </c>
      <c r="Q340" s="22" t="s">
        <v>122</v>
      </c>
      <c r="R340" s="22" t="s">
        <v>108</v>
      </c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</row>
    <row r="341" spans="1:45" ht="44" customHeight="1">
      <c r="A341" s="25" t="s">
        <v>26</v>
      </c>
      <c r="B341" s="26" t="s">
        <v>103</v>
      </c>
      <c r="C341" s="25" t="s">
        <v>124</v>
      </c>
      <c r="D341" s="25" t="s">
        <v>111</v>
      </c>
      <c r="E341" s="26" t="s">
        <v>106</v>
      </c>
      <c r="F341" s="26">
        <v>1312</v>
      </c>
      <c r="G341" s="26">
        <v>14</v>
      </c>
      <c r="H341" s="26">
        <v>0</v>
      </c>
      <c r="I341" s="26">
        <v>1326</v>
      </c>
      <c r="J341" s="26">
        <v>2.5</v>
      </c>
      <c r="K341" s="26">
        <v>0.25</v>
      </c>
      <c r="L341" s="26">
        <v>0</v>
      </c>
      <c r="M341" s="26">
        <v>15</v>
      </c>
      <c r="N341" s="27" t="e">
        <f>MAX(0,F341-H341-#REF!)*J341/1000000 + H341*K341/1000000 +#REF!* L341/1000000</f>
        <v>#REF!</v>
      </c>
      <c r="O341" s="27">
        <f t="shared" si="11"/>
        <v>2.1000000000000001E-4</v>
      </c>
      <c r="P341" s="27" t="e">
        <f t="shared" si="12"/>
        <v>#REF!</v>
      </c>
      <c r="Q341" s="25" t="s">
        <v>122</v>
      </c>
      <c r="R341" s="25" t="s">
        <v>108</v>
      </c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</row>
    <row r="342" spans="1:45" ht="44" customHeight="1">
      <c r="A342" s="22" t="s">
        <v>26</v>
      </c>
      <c r="B342" s="23" t="s">
        <v>103</v>
      </c>
      <c r="C342" s="22" t="s">
        <v>124</v>
      </c>
      <c r="D342" s="22" t="s">
        <v>111</v>
      </c>
      <c r="E342" s="23" t="s">
        <v>106</v>
      </c>
      <c r="F342" s="23">
        <v>2266</v>
      </c>
      <c r="G342" s="23">
        <v>14</v>
      </c>
      <c r="H342" s="23">
        <v>0</v>
      </c>
      <c r="I342" s="23">
        <v>2280</v>
      </c>
      <c r="J342" s="23">
        <v>2.5</v>
      </c>
      <c r="K342" s="23">
        <v>0.25</v>
      </c>
      <c r="L342" s="23">
        <v>0</v>
      </c>
      <c r="M342" s="23">
        <v>15</v>
      </c>
      <c r="N342" s="24" t="e">
        <f>MAX(0,F342-H342-#REF!)*J342/1000000 + H342*K342/1000000 +#REF!* L342/1000000</f>
        <v>#REF!</v>
      </c>
      <c r="O342" s="24">
        <f t="shared" si="11"/>
        <v>2.1000000000000001E-4</v>
      </c>
      <c r="P342" s="24" t="e">
        <f t="shared" si="12"/>
        <v>#REF!</v>
      </c>
      <c r="Q342" s="22" t="s">
        <v>122</v>
      </c>
      <c r="R342" s="22" t="s">
        <v>108</v>
      </c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</row>
    <row r="343" spans="1:45" ht="44" customHeight="1">
      <c r="A343" s="25" t="s">
        <v>26</v>
      </c>
      <c r="B343" s="26" t="s">
        <v>103</v>
      </c>
      <c r="C343" s="25" t="s">
        <v>124</v>
      </c>
      <c r="D343" s="25" t="s">
        <v>111</v>
      </c>
      <c r="E343" s="26" t="s">
        <v>106</v>
      </c>
      <c r="F343" s="26">
        <v>2196</v>
      </c>
      <c r="G343" s="26">
        <v>14</v>
      </c>
      <c r="H343" s="26">
        <v>0</v>
      </c>
      <c r="I343" s="26">
        <v>2210</v>
      </c>
      <c r="J343" s="26">
        <v>2.5</v>
      </c>
      <c r="K343" s="26">
        <v>0.25</v>
      </c>
      <c r="L343" s="26">
        <v>0</v>
      </c>
      <c r="M343" s="26">
        <v>15</v>
      </c>
      <c r="N343" s="27" t="e">
        <f>MAX(0,F343-H343-#REF!)*J343/1000000 + H343*K343/1000000 +#REF!* L343/1000000</f>
        <v>#REF!</v>
      </c>
      <c r="O343" s="27">
        <f t="shared" ref="O343:O406" si="13">G343*M343/1000000</f>
        <v>2.1000000000000001E-4</v>
      </c>
      <c r="P343" s="27" t="e">
        <f t="shared" ref="P343:P406" si="14">N343+O343</f>
        <v>#REF!</v>
      </c>
      <c r="Q343" s="25" t="s">
        <v>122</v>
      </c>
      <c r="R343" s="25" t="s">
        <v>108</v>
      </c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</row>
    <row r="344" spans="1:45" ht="44" customHeight="1">
      <c r="A344" s="22" t="s">
        <v>26</v>
      </c>
      <c r="B344" s="23" t="s">
        <v>103</v>
      </c>
      <c r="C344" s="22" t="s">
        <v>124</v>
      </c>
      <c r="D344" s="22" t="s">
        <v>111</v>
      </c>
      <c r="E344" s="23" t="s">
        <v>106</v>
      </c>
      <c r="F344" s="23">
        <v>2098</v>
      </c>
      <c r="G344" s="23">
        <v>14</v>
      </c>
      <c r="H344" s="23">
        <v>1792</v>
      </c>
      <c r="I344" s="23">
        <v>2112</v>
      </c>
      <c r="J344" s="23">
        <v>2.5</v>
      </c>
      <c r="K344" s="23">
        <v>0.25</v>
      </c>
      <c r="L344" s="23">
        <v>0</v>
      </c>
      <c r="M344" s="23">
        <v>15</v>
      </c>
      <c r="N344" s="24" t="e">
        <f>MAX(0,F344-H344-#REF!)*J344/1000000 + H344*K344/1000000 +#REF!* L344/1000000</f>
        <v>#REF!</v>
      </c>
      <c r="O344" s="24">
        <f t="shared" si="13"/>
        <v>2.1000000000000001E-4</v>
      </c>
      <c r="P344" s="24" t="e">
        <f t="shared" si="14"/>
        <v>#REF!</v>
      </c>
      <c r="Q344" s="22" t="s">
        <v>122</v>
      </c>
      <c r="R344" s="22" t="s">
        <v>108</v>
      </c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</row>
    <row r="345" spans="1:45" ht="44" customHeight="1">
      <c r="A345" s="25" t="s">
        <v>26</v>
      </c>
      <c r="B345" s="26" t="s">
        <v>103</v>
      </c>
      <c r="C345" s="25" t="s">
        <v>124</v>
      </c>
      <c r="D345" s="25" t="s">
        <v>111</v>
      </c>
      <c r="E345" s="26" t="s">
        <v>106</v>
      </c>
      <c r="F345" s="26">
        <v>2007</v>
      </c>
      <c r="G345" s="26">
        <v>14</v>
      </c>
      <c r="H345" s="26">
        <v>1792</v>
      </c>
      <c r="I345" s="26">
        <v>2021</v>
      </c>
      <c r="J345" s="26">
        <v>2.5</v>
      </c>
      <c r="K345" s="26">
        <v>0.25</v>
      </c>
      <c r="L345" s="26">
        <v>0</v>
      </c>
      <c r="M345" s="26">
        <v>15</v>
      </c>
      <c r="N345" s="27" t="e">
        <f>MAX(0,F345-H345-#REF!)*J345/1000000 + H345*K345/1000000 +#REF!* L345/1000000</f>
        <v>#REF!</v>
      </c>
      <c r="O345" s="27">
        <f t="shared" si="13"/>
        <v>2.1000000000000001E-4</v>
      </c>
      <c r="P345" s="27" t="e">
        <f t="shared" si="14"/>
        <v>#REF!</v>
      </c>
      <c r="Q345" s="25" t="s">
        <v>122</v>
      </c>
      <c r="R345" s="25" t="s">
        <v>108</v>
      </c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</row>
    <row r="346" spans="1:45" ht="44" customHeight="1">
      <c r="A346" s="22" t="s">
        <v>26</v>
      </c>
      <c r="B346" s="23" t="s">
        <v>103</v>
      </c>
      <c r="C346" s="22" t="s">
        <v>124</v>
      </c>
      <c r="D346" s="22" t="s">
        <v>112</v>
      </c>
      <c r="E346" s="23" t="s">
        <v>106</v>
      </c>
      <c r="F346" s="23">
        <v>1269</v>
      </c>
      <c r="G346" s="23">
        <v>226</v>
      </c>
      <c r="H346" s="23">
        <v>0</v>
      </c>
      <c r="I346" s="23">
        <v>1495</v>
      </c>
      <c r="J346" s="23">
        <v>2.5</v>
      </c>
      <c r="K346" s="23">
        <v>0.25</v>
      </c>
      <c r="L346" s="23">
        <v>0</v>
      </c>
      <c r="M346" s="23">
        <v>15</v>
      </c>
      <c r="N346" s="24" t="e">
        <f>MAX(0,F346-H346-#REF!)*J346/1000000 + H346*K346/1000000 +#REF!* L346/1000000</f>
        <v>#REF!</v>
      </c>
      <c r="O346" s="24">
        <f t="shared" si="13"/>
        <v>3.3899999999999998E-3</v>
      </c>
      <c r="P346" s="24" t="e">
        <f t="shared" si="14"/>
        <v>#REF!</v>
      </c>
      <c r="Q346" s="22" t="s">
        <v>122</v>
      </c>
      <c r="R346" s="22" t="s">
        <v>108</v>
      </c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</row>
    <row r="347" spans="1:45" ht="44" customHeight="1">
      <c r="A347" s="25" t="s">
        <v>26</v>
      </c>
      <c r="B347" s="26" t="s">
        <v>103</v>
      </c>
      <c r="C347" s="25" t="s">
        <v>124</v>
      </c>
      <c r="D347" s="25" t="s">
        <v>112</v>
      </c>
      <c r="E347" s="26" t="s">
        <v>106</v>
      </c>
      <c r="F347" s="26">
        <v>5129</v>
      </c>
      <c r="G347" s="26">
        <v>270</v>
      </c>
      <c r="H347" s="26">
        <v>2816</v>
      </c>
      <c r="I347" s="26">
        <v>5399</v>
      </c>
      <c r="J347" s="26">
        <v>2.5</v>
      </c>
      <c r="K347" s="26">
        <v>0.25</v>
      </c>
      <c r="L347" s="26">
        <v>0</v>
      </c>
      <c r="M347" s="26">
        <v>15</v>
      </c>
      <c r="N347" s="27" t="e">
        <f>MAX(0,F347-H347-#REF!)*J347/1000000 + H347*K347/1000000 +#REF!* L347/1000000</f>
        <v>#REF!</v>
      </c>
      <c r="O347" s="27">
        <f t="shared" si="13"/>
        <v>4.0499999999999998E-3</v>
      </c>
      <c r="P347" s="27" t="e">
        <f t="shared" si="14"/>
        <v>#REF!</v>
      </c>
      <c r="Q347" s="25" t="s">
        <v>122</v>
      </c>
      <c r="R347" s="25" t="s">
        <v>108</v>
      </c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</row>
    <row r="348" spans="1:45" ht="44" customHeight="1">
      <c r="A348" s="22" t="s">
        <v>26</v>
      </c>
      <c r="B348" s="23" t="s">
        <v>103</v>
      </c>
      <c r="C348" s="22" t="s">
        <v>124</v>
      </c>
      <c r="D348" s="22" t="s">
        <v>112</v>
      </c>
      <c r="E348" s="23" t="s">
        <v>106</v>
      </c>
      <c r="F348" s="23">
        <v>3487</v>
      </c>
      <c r="G348" s="23">
        <v>557</v>
      </c>
      <c r="H348" s="23">
        <v>2816</v>
      </c>
      <c r="I348" s="23">
        <v>4044</v>
      </c>
      <c r="J348" s="23">
        <v>2.5</v>
      </c>
      <c r="K348" s="23">
        <v>0.25</v>
      </c>
      <c r="L348" s="23">
        <v>0</v>
      </c>
      <c r="M348" s="23">
        <v>15</v>
      </c>
      <c r="N348" s="24" t="e">
        <f>MAX(0,F348-H348-#REF!)*J348/1000000 + H348*K348/1000000 +#REF!* L348/1000000</f>
        <v>#REF!</v>
      </c>
      <c r="O348" s="24">
        <f t="shared" si="13"/>
        <v>8.3549999999999996E-3</v>
      </c>
      <c r="P348" s="24" t="e">
        <f t="shared" si="14"/>
        <v>#REF!</v>
      </c>
      <c r="Q348" s="22" t="s">
        <v>122</v>
      </c>
      <c r="R348" s="22" t="s">
        <v>108</v>
      </c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</row>
    <row r="349" spans="1:45" ht="44" customHeight="1">
      <c r="A349" s="25" t="s">
        <v>27</v>
      </c>
      <c r="B349" s="26" t="s">
        <v>113</v>
      </c>
      <c r="C349" s="25" t="s">
        <v>125</v>
      </c>
      <c r="D349" s="25" t="s">
        <v>105</v>
      </c>
      <c r="E349" s="26" t="s">
        <v>106</v>
      </c>
      <c r="F349" s="26">
        <v>7572</v>
      </c>
      <c r="G349" s="26">
        <v>763</v>
      </c>
      <c r="H349" s="26">
        <v>0</v>
      </c>
      <c r="I349" s="26">
        <v>8335</v>
      </c>
      <c r="J349" s="26">
        <v>1</v>
      </c>
      <c r="K349" s="26">
        <v>0.1</v>
      </c>
      <c r="L349" s="26">
        <v>1.25</v>
      </c>
      <c r="M349" s="26">
        <v>5</v>
      </c>
      <c r="N349" s="27" t="e">
        <f>MAX(0,F349-H349-#REF!)*J349/1000000 + H349*K349/1000000 +#REF!* L349/1000000</f>
        <v>#REF!</v>
      </c>
      <c r="O349" s="27">
        <f t="shared" si="13"/>
        <v>3.8149999999999998E-3</v>
      </c>
      <c r="P349" s="27" t="e">
        <f t="shared" si="14"/>
        <v>#REF!</v>
      </c>
      <c r="Q349" s="25" t="s">
        <v>115</v>
      </c>
      <c r="R349" s="25" t="s">
        <v>108</v>
      </c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</row>
    <row r="350" spans="1:45" ht="44" customHeight="1">
      <c r="A350" s="22" t="s">
        <v>27</v>
      </c>
      <c r="B350" s="23" t="s">
        <v>113</v>
      </c>
      <c r="C350" s="22" t="s">
        <v>125</v>
      </c>
      <c r="D350" s="22" t="s">
        <v>109</v>
      </c>
      <c r="E350" s="23" t="s">
        <v>106</v>
      </c>
      <c r="F350" s="23">
        <v>9292</v>
      </c>
      <c r="G350" s="23">
        <v>33</v>
      </c>
      <c r="H350" s="23">
        <v>0</v>
      </c>
      <c r="I350" s="23">
        <v>9325</v>
      </c>
      <c r="J350" s="23">
        <v>1</v>
      </c>
      <c r="K350" s="23">
        <v>0.1</v>
      </c>
      <c r="L350" s="23">
        <v>1.25</v>
      </c>
      <c r="M350" s="23">
        <v>5</v>
      </c>
      <c r="N350" s="24" t="e">
        <f>MAX(0,F350-H350-#REF!)*J350/1000000 + H350*K350/1000000 +#REF!* L350/1000000</f>
        <v>#REF!</v>
      </c>
      <c r="O350" s="24">
        <f t="shared" si="13"/>
        <v>1.65E-4</v>
      </c>
      <c r="P350" s="24" t="e">
        <f t="shared" si="14"/>
        <v>#REF!</v>
      </c>
      <c r="Q350" s="22" t="s">
        <v>115</v>
      </c>
      <c r="R350" s="22" t="s">
        <v>108</v>
      </c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</row>
    <row r="351" spans="1:45" ht="44" customHeight="1">
      <c r="A351" s="25" t="s">
        <v>27</v>
      </c>
      <c r="B351" s="26" t="s">
        <v>113</v>
      </c>
      <c r="C351" s="25" t="s">
        <v>125</v>
      </c>
      <c r="D351" s="25" t="s">
        <v>109</v>
      </c>
      <c r="E351" s="26" t="s">
        <v>106</v>
      </c>
      <c r="F351" s="26">
        <v>3744</v>
      </c>
      <c r="G351" s="26">
        <v>33</v>
      </c>
      <c r="H351" s="26">
        <v>0</v>
      </c>
      <c r="I351" s="26">
        <v>3777</v>
      </c>
      <c r="J351" s="26">
        <v>1</v>
      </c>
      <c r="K351" s="26">
        <v>0.1</v>
      </c>
      <c r="L351" s="26">
        <v>1.25</v>
      </c>
      <c r="M351" s="26">
        <v>5</v>
      </c>
      <c r="N351" s="27" t="e">
        <f>MAX(0,F351-H351-#REF!)*J351/1000000 + H351*K351/1000000 +#REF!* L351/1000000</f>
        <v>#REF!</v>
      </c>
      <c r="O351" s="27">
        <f t="shared" si="13"/>
        <v>1.65E-4</v>
      </c>
      <c r="P351" s="27" t="e">
        <f t="shared" si="14"/>
        <v>#REF!</v>
      </c>
      <c r="Q351" s="25" t="s">
        <v>115</v>
      </c>
      <c r="R351" s="25" t="s">
        <v>108</v>
      </c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</row>
    <row r="352" spans="1:45" ht="44" customHeight="1">
      <c r="A352" s="22" t="s">
        <v>27</v>
      </c>
      <c r="B352" s="23" t="s">
        <v>113</v>
      </c>
      <c r="C352" s="22" t="s">
        <v>125</v>
      </c>
      <c r="D352" s="22" t="s">
        <v>109</v>
      </c>
      <c r="E352" s="23" t="s">
        <v>106</v>
      </c>
      <c r="F352" s="23">
        <v>6544</v>
      </c>
      <c r="G352" s="23">
        <v>33</v>
      </c>
      <c r="H352" s="23">
        <v>0</v>
      </c>
      <c r="I352" s="23">
        <v>6577</v>
      </c>
      <c r="J352" s="23">
        <v>1</v>
      </c>
      <c r="K352" s="23">
        <v>0.1</v>
      </c>
      <c r="L352" s="23">
        <v>1.25</v>
      </c>
      <c r="M352" s="23">
        <v>5</v>
      </c>
      <c r="N352" s="24" t="e">
        <f>MAX(0,F352-H352-#REF!)*J352/1000000 + H352*K352/1000000 +#REF!* L352/1000000</f>
        <v>#REF!</v>
      </c>
      <c r="O352" s="24">
        <f t="shared" si="13"/>
        <v>1.65E-4</v>
      </c>
      <c r="P352" s="24" t="e">
        <f t="shared" si="14"/>
        <v>#REF!</v>
      </c>
      <c r="Q352" s="22" t="s">
        <v>115</v>
      </c>
      <c r="R352" s="22" t="s">
        <v>108</v>
      </c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</row>
    <row r="353" spans="1:45" ht="44" customHeight="1">
      <c r="A353" s="25" t="s">
        <v>27</v>
      </c>
      <c r="B353" s="26" t="s">
        <v>113</v>
      </c>
      <c r="C353" s="25" t="s">
        <v>125</v>
      </c>
      <c r="D353" s="25" t="s">
        <v>109</v>
      </c>
      <c r="E353" s="26" t="s">
        <v>106</v>
      </c>
      <c r="F353" s="26">
        <v>2260</v>
      </c>
      <c r="G353" s="26">
        <v>33</v>
      </c>
      <c r="H353" s="26">
        <v>0</v>
      </c>
      <c r="I353" s="26">
        <v>2293</v>
      </c>
      <c r="J353" s="26">
        <v>1</v>
      </c>
      <c r="K353" s="26">
        <v>0.1</v>
      </c>
      <c r="L353" s="26">
        <v>1.25</v>
      </c>
      <c r="M353" s="26">
        <v>5</v>
      </c>
      <c r="N353" s="27" t="e">
        <f>MAX(0,F353-H353-#REF!)*J353/1000000 + H353*K353/1000000 +#REF!* L353/1000000</f>
        <v>#REF!</v>
      </c>
      <c r="O353" s="27">
        <f t="shared" si="13"/>
        <v>1.65E-4</v>
      </c>
      <c r="P353" s="27" t="e">
        <f t="shared" si="14"/>
        <v>#REF!</v>
      </c>
      <c r="Q353" s="25" t="s">
        <v>115</v>
      </c>
      <c r="R353" s="25" t="s">
        <v>108</v>
      </c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</row>
    <row r="354" spans="1:45" ht="44" customHeight="1">
      <c r="A354" s="22" t="s">
        <v>27</v>
      </c>
      <c r="B354" s="23" t="s">
        <v>113</v>
      </c>
      <c r="C354" s="22" t="s">
        <v>125</v>
      </c>
      <c r="D354" s="22" t="s">
        <v>109</v>
      </c>
      <c r="E354" s="23" t="s">
        <v>106</v>
      </c>
      <c r="F354" s="23">
        <v>2574</v>
      </c>
      <c r="G354" s="23">
        <v>33</v>
      </c>
      <c r="H354" s="23">
        <v>0</v>
      </c>
      <c r="I354" s="23">
        <v>2607</v>
      </c>
      <c r="J354" s="23">
        <v>1</v>
      </c>
      <c r="K354" s="23">
        <v>0.1</v>
      </c>
      <c r="L354" s="23">
        <v>1.25</v>
      </c>
      <c r="M354" s="23">
        <v>5</v>
      </c>
      <c r="N354" s="24" t="e">
        <f>MAX(0,F354-H354-#REF!)*J354/1000000 + H354*K354/1000000 +#REF!* L354/1000000</f>
        <v>#REF!</v>
      </c>
      <c r="O354" s="24">
        <f t="shared" si="13"/>
        <v>1.65E-4</v>
      </c>
      <c r="P354" s="24" t="e">
        <f t="shared" si="14"/>
        <v>#REF!</v>
      </c>
      <c r="Q354" s="22" t="s">
        <v>115</v>
      </c>
      <c r="R354" s="22" t="s">
        <v>108</v>
      </c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</row>
    <row r="355" spans="1:45" ht="44" customHeight="1">
      <c r="A355" s="25" t="s">
        <v>27</v>
      </c>
      <c r="B355" s="26" t="s">
        <v>113</v>
      </c>
      <c r="C355" s="25" t="s">
        <v>125</v>
      </c>
      <c r="D355" s="25" t="s">
        <v>109</v>
      </c>
      <c r="E355" s="26" t="s">
        <v>106</v>
      </c>
      <c r="F355" s="26">
        <v>5774</v>
      </c>
      <c r="G355" s="26">
        <v>33</v>
      </c>
      <c r="H355" s="26">
        <v>0</v>
      </c>
      <c r="I355" s="26">
        <v>5807</v>
      </c>
      <c r="J355" s="26">
        <v>1</v>
      </c>
      <c r="K355" s="26">
        <v>0.1</v>
      </c>
      <c r="L355" s="26">
        <v>1.25</v>
      </c>
      <c r="M355" s="26">
        <v>5</v>
      </c>
      <c r="N355" s="27" t="e">
        <f>MAX(0,F355-H355-#REF!)*J355/1000000 + H355*K355/1000000 +#REF!* L355/1000000</f>
        <v>#REF!</v>
      </c>
      <c r="O355" s="27">
        <f t="shared" si="13"/>
        <v>1.65E-4</v>
      </c>
      <c r="P355" s="27" t="e">
        <f t="shared" si="14"/>
        <v>#REF!</v>
      </c>
      <c r="Q355" s="25" t="s">
        <v>115</v>
      </c>
      <c r="R355" s="25" t="s">
        <v>108</v>
      </c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</row>
    <row r="356" spans="1:45" ht="44" customHeight="1">
      <c r="A356" s="22" t="s">
        <v>27</v>
      </c>
      <c r="B356" s="23" t="s">
        <v>113</v>
      </c>
      <c r="C356" s="22" t="s">
        <v>125</v>
      </c>
      <c r="D356" s="22" t="s">
        <v>109</v>
      </c>
      <c r="E356" s="23" t="s">
        <v>106</v>
      </c>
      <c r="F356" s="23">
        <v>3869</v>
      </c>
      <c r="G356" s="23">
        <v>33</v>
      </c>
      <c r="H356" s="23">
        <v>0</v>
      </c>
      <c r="I356" s="23">
        <v>3902</v>
      </c>
      <c r="J356" s="23">
        <v>1</v>
      </c>
      <c r="K356" s="23">
        <v>0.1</v>
      </c>
      <c r="L356" s="23">
        <v>1.25</v>
      </c>
      <c r="M356" s="23">
        <v>5</v>
      </c>
      <c r="N356" s="24" t="e">
        <f>MAX(0,F356-H356-#REF!)*J356/1000000 + H356*K356/1000000 +#REF!* L356/1000000</f>
        <v>#REF!</v>
      </c>
      <c r="O356" s="24">
        <f t="shared" si="13"/>
        <v>1.65E-4</v>
      </c>
      <c r="P356" s="24" t="e">
        <f t="shared" si="14"/>
        <v>#REF!</v>
      </c>
      <c r="Q356" s="22" t="s">
        <v>115</v>
      </c>
      <c r="R356" s="22" t="s">
        <v>108</v>
      </c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</row>
    <row r="357" spans="1:45" ht="44" customHeight="1">
      <c r="A357" s="25" t="s">
        <v>27</v>
      </c>
      <c r="B357" s="26" t="s">
        <v>113</v>
      </c>
      <c r="C357" s="25" t="s">
        <v>125</v>
      </c>
      <c r="D357" s="25" t="s">
        <v>109</v>
      </c>
      <c r="E357" s="26" t="s">
        <v>106</v>
      </c>
      <c r="F357" s="26">
        <v>3516</v>
      </c>
      <c r="G357" s="26">
        <v>33</v>
      </c>
      <c r="H357" s="26">
        <v>0</v>
      </c>
      <c r="I357" s="26">
        <v>3549</v>
      </c>
      <c r="J357" s="26">
        <v>1</v>
      </c>
      <c r="K357" s="26">
        <v>0.1</v>
      </c>
      <c r="L357" s="26">
        <v>1.25</v>
      </c>
      <c r="M357" s="26">
        <v>5</v>
      </c>
      <c r="N357" s="27" t="e">
        <f>MAX(0,F357-H357-#REF!)*J357/1000000 + H357*K357/1000000 +#REF!* L357/1000000</f>
        <v>#REF!</v>
      </c>
      <c r="O357" s="27">
        <f t="shared" si="13"/>
        <v>1.65E-4</v>
      </c>
      <c r="P357" s="27" t="e">
        <f t="shared" si="14"/>
        <v>#REF!</v>
      </c>
      <c r="Q357" s="25" t="s">
        <v>115</v>
      </c>
      <c r="R357" s="25" t="s">
        <v>108</v>
      </c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</row>
    <row r="358" spans="1:45" ht="44" customHeight="1">
      <c r="A358" s="22" t="s">
        <v>27</v>
      </c>
      <c r="B358" s="23" t="s">
        <v>113</v>
      </c>
      <c r="C358" s="22" t="s">
        <v>125</v>
      </c>
      <c r="D358" s="22" t="s">
        <v>109</v>
      </c>
      <c r="E358" s="23" t="s">
        <v>106</v>
      </c>
      <c r="F358" s="23">
        <v>3646</v>
      </c>
      <c r="G358" s="23">
        <v>33</v>
      </c>
      <c r="H358" s="23">
        <v>0</v>
      </c>
      <c r="I358" s="23">
        <v>3679</v>
      </c>
      <c r="J358" s="23">
        <v>1</v>
      </c>
      <c r="K358" s="23">
        <v>0.1</v>
      </c>
      <c r="L358" s="23">
        <v>1.25</v>
      </c>
      <c r="M358" s="23">
        <v>5</v>
      </c>
      <c r="N358" s="24" t="e">
        <f>MAX(0,F358-H358-#REF!)*J358/1000000 + H358*K358/1000000 +#REF!* L358/1000000</f>
        <v>#REF!</v>
      </c>
      <c r="O358" s="24">
        <f t="shared" si="13"/>
        <v>1.65E-4</v>
      </c>
      <c r="P358" s="24" t="e">
        <f t="shared" si="14"/>
        <v>#REF!</v>
      </c>
      <c r="Q358" s="22" t="s">
        <v>115</v>
      </c>
      <c r="R358" s="22" t="s">
        <v>108</v>
      </c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</row>
    <row r="359" spans="1:45" ht="44" customHeight="1">
      <c r="A359" s="25" t="s">
        <v>27</v>
      </c>
      <c r="B359" s="26" t="s">
        <v>113</v>
      </c>
      <c r="C359" s="25" t="s">
        <v>125</v>
      </c>
      <c r="D359" s="25" t="s">
        <v>109</v>
      </c>
      <c r="E359" s="26" t="s">
        <v>106</v>
      </c>
      <c r="F359" s="26">
        <v>2592</v>
      </c>
      <c r="G359" s="26">
        <v>33</v>
      </c>
      <c r="H359" s="26">
        <v>0</v>
      </c>
      <c r="I359" s="26">
        <v>2625</v>
      </c>
      <c r="J359" s="26">
        <v>1</v>
      </c>
      <c r="K359" s="26">
        <v>0.1</v>
      </c>
      <c r="L359" s="26">
        <v>1.25</v>
      </c>
      <c r="M359" s="26">
        <v>5</v>
      </c>
      <c r="N359" s="27" t="e">
        <f>MAX(0,F359-H359-#REF!)*J359/1000000 + H359*K359/1000000 +#REF!* L359/1000000</f>
        <v>#REF!</v>
      </c>
      <c r="O359" s="27">
        <f t="shared" si="13"/>
        <v>1.65E-4</v>
      </c>
      <c r="P359" s="27" t="e">
        <f t="shared" si="14"/>
        <v>#REF!</v>
      </c>
      <c r="Q359" s="25" t="s">
        <v>115</v>
      </c>
      <c r="R359" s="25" t="s">
        <v>108</v>
      </c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</row>
    <row r="360" spans="1:45" ht="44" customHeight="1">
      <c r="A360" s="22" t="s">
        <v>27</v>
      </c>
      <c r="B360" s="23" t="s">
        <v>113</v>
      </c>
      <c r="C360" s="22" t="s">
        <v>125</v>
      </c>
      <c r="D360" s="22" t="s">
        <v>109</v>
      </c>
      <c r="E360" s="23" t="s">
        <v>106</v>
      </c>
      <c r="F360" s="23">
        <v>2666</v>
      </c>
      <c r="G360" s="23">
        <v>277</v>
      </c>
      <c r="H360" s="23">
        <v>0</v>
      </c>
      <c r="I360" s="23">
        <v>2943</v>
      </c>
      <c r="J360" s="23">
        <v>1</v>
      </c>
      <c r="K360" s="23">
        <v>0.1</v>
      </c>
      <c r="L360" s="23">
        <v>1.25</v>
      </c>
      <c r="M360" s="23">
        <v>5</v>
      </c>
      <c r="N360" s="24" t="e">
        <f>MAX(0,F360-H360-#REF!)*J360/1000000 + H360*K360/1000000 +#REF!* L360/1000000</f>
        <v>#REF!</v>
      </c>
      <c r="O360" s="24">
        <f t="shared" si="13"/>
        <v>1.3849999999999999E-3</v>
      </c>
      <c r="P360" s="24" t="e">
        <f t="shared" si="14"/>
        <v>#REF!</v>
      </c>
      <c r="Q360" s="22" t="s">
        <v>115</v>
      </c>
      <c r="R360" s="22" t="s">
        <v>108</v>
      </c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</row>
    <row r="361" spans="1:45" ht="44" customHeight="1">
      <c r="A361" s="25" t="s">
        <v>27</v>
      </c>
      <c r="B361" s="26" t="s">
        <v>113</v>
      </c>
      <c r="C361" s="25" t="s">
        <v>125</v>
      </c>
      <c r="D361" s="25" t="s">
        <v>109</v>
      </c>
      <c r="E361" s="26" t="s">
        <v>106</v>
      </c>
      <c r="F361" s="26">
        <v>3227</v>
      </c>
      <c r="G361" s="26">
        <v>444</v>
      </c>
      <c r="H361" s="26">
        <v>0</v>
      </c>
      <c r="I361" s="26">
        <v>3671</v>
      </c>
      <c r="J361" s="26">
        <v>1</v>
      </c>
      <c r="K361" s="26">
        <v>0.1</v>
      </c>
      <c r="L361" s="26">
        <v>1.25</v>
      </c>
      <c r="M361" s="26">
        <v>5</v>
      </c>
      <c r="N361" s="27" t="e">
        <f>MAX(0,F361-H361-#REF!)*J361/1000000 + H361*K361/1000000 +#REF!* L361/1000000</f>
        <v>#REF!</v>
      </c>
      <c r="O361" s="27">
        <f t="shared" si="13"/>
        <v>2.2200000000000002E-3</v>
      </c>
      <c r="P361" s="27" t="e">
        <f t="shared" si="14"/>
        <v>#REF!</v>
      </c>
      <c r="Q361" s="25" t="s">
        <v>115</v>
      </c>
      <c r="R361" s="25" t="s">
        <v>108</v>
      </c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</row>
    <row r="362" spans="1:45" ht="44" customHeight="1">
      <c r="A362" s="22" t="s">
        <v>27</v>
      </c>
      <c r="B362" s="23" t="s">
        <v>113</v>
      </c>
      <c r="C362" s="22" t="s">
        <v>125</v>
      </c>
      <c r="D362" s="22" t="s">
        <v>110</v>
      </c>
      <c r="E362" s="23" t="s">
        <v>106</v>
      </c>
      <c r="F362" s="23">
        <v>2242</v>
      </c>
      <c r="G362" s="23">
        <v>33</v>
      </c>
      <c r="H362" s="23">
        <v>0</v>
      </c>
      <c r="I362" s="23">
        <v>2275</v>
      </c>
      <c r="J362" s="23">
        <v>1</v>
      </c>
      <c r="K362" s="23">
        <v>0.1</v>
      </c>
      <c r="L362" s="23">
        <v>1.25</v>
      </c>
      <c r="M362" s="23">
        <v>5</v>
      </c>
      <c r="N362" s="24" t="e">
        <f>MAX(0,F362-H362-#REF!)*J362/1000000 + H362*K362/1000000 +#REF!* L362/1000000</f>
        <v>#REF!</v>
      </c>
      <c r="O362" s="24">
        <f t="shared" si="13"/>
        <v>1.65E-4</v>
      </c>
      <c r="P362" s="24" t="e">
        <f t="shared" si="14"/>
        <v>#REF!</v>
      </c>
      <c r="Q362" s="22" t="s">
        <v>115</v>
      </c>
      <c r="R362" s="22" t="s">
        <v>108</v>
      </c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</row>
    <row r="363" spans="1:45" ht="44" customHeight="1">
      <c r="A363" s="25" t="s">
        <v>27</v>
      </c>
      <c r="B363" s="26" t="s">
        <v>113</v>
      </c>
      <c r="C363" s="25" t="s">
        <v>125</v>
      </c>
      <c r="D363" s="25" t="s">
        <v>110</v>
      </c>
      <c r="E363" s="26" t="s">
        <v>106</v>
      </c>
      <c r="F363" s="26">
        <v>3726</v>
      </c>
      <c r="G363" s="26">
        <v>202</v>
      </c>
      <c r="H363" s="26">
        <v>0</v>
      </c>
      <c r="I363" s="26">
        <v>3928</v>
      </c>
      <c r="J363" s="26">
        <v>1</v>
      </c>
      <c r="K363" s="26">
        <v>0.1</v>
      </c>
      <c r="L363" s="26">
        <v>1.25</v>
      </c>
      <c r="M363" s="26">
        <v>5</v>
      </c>
      <c r="N363" s="27" t="e">
        <f>MAX(0,F363-H363-#REF!)*J363/1000000 + H363*K363/1000000 +#REF!* L363/1000000</f>
        <v>#REF!</v>
      </c>
      <c r="O363" s="27">
        <f t="shared" si="13"/>
        <v>1.01E-3</v>
      </c>
      <c r="P363" s="27" t="e">
        <f t="shared" si="14"/>
        <v>#REF!</v>
      </c>
      <c r="Q363" s="25" t="s">
        <v>115</v>
      </c>
      <c r="R363" s="25" t="s">
        <v>108</v>
      </c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</row>
    <row r="364" spans="1:45" ht="44" customHeight="1">
      <c r="A364" s="22" t="s">
        <v>27</v>
      </c>
      <c r="B364" s="23" t="s">
        <v>113</v>
      </c>
      <c r="C364" s="22" t="s">
        <v>125</v>
      </c>
      <c r="D364" s="22" t="s">
        <v>110</v>
      </c>
      <c r="E364" s="23" t="s">
        <v>106</v>
      </c>
      <c r="F364" s="23">
        <v>2648</v>
      </c>
      <c r="G364" s="23">
        <v>227</v>
      </c>
      <c r="H364" s="23">
        <v>0</v>
      </c>
      <c r="I364" s="23">
        <v>2875</v>
      </c>
      <c r="J364" s="23">
        <v>1</v>
      </c>
      <c r="K364" s="23">
        <v>0.1</v>
      </c>
      <c r="L364" s="23">
        <v>1.25</v>
      </c>
      <c r="M364" s="23">
        <v>5</v>
      </c>
      <c r="N364" s="24" t="e">
        <f>MAX(0,F364-H364-#REF!)*J364/1000000 + H364*K364/1000000 +#REF!* L364/1000000</f>
        <v>#REF!</v>
      </c>
      <c r="O364" s="24">
        <f t="shared" si="13"/>
        <v>1.1349999999999999E-3</v>
      </c>
      <c r="P364" s="24" t="e">
        <f t="shared" si="14"/>
        <v>#REF!</v>
      </c>
      <c r="Q364" s="22" t="s">
        <v>115</v>
      </c>
      <c r="R364" s="22" t="s">
        <v>108</v>
      </c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</row>
    <row r="365" spans="1:45" ht="44" customHeight="1">
      <c r="A365" s="25" t="s">
        <v>27</v>
      </c>
      <c r="B365" s="26" t="s">
        <v>113</v>
      </c>
      <c r="C365" s="25" t="s">
        <v>125</v>
      </c>
      <c r="D365" s="25" t="s">
        <v>110</v>
      </c>
      <c r="E365" s="26" t="s">
        <v>106</v>
      </c>
      <c r="F365" s="26">
        <v>3209</v>
      </c>
      <c r="G365" s="26">
        <v>33</v>
      </c>
      <c r="H365" s="26">
        <v>0</v>
      </c>
      <c r="I365" s="26">
        <v>3242</v>
      </c>
      <c r="J365" s="26">
        <v>1</v>
      </c>
      <c r="K365" s="26">
        <v>0.1</v>
      </c>
      <c r="L365" s="26">
        <v>1.25</v>
      </c>
      <c r="M365" s="26">
        <v>5</v>
      </c>
      <c r="N365" s="27" t="e">
        <f>MAX(0,F365-H365-#REF!)*J365/1000000 + H365*K365/1000000 +#REF!* L365/1000000</f>
        <v>#REF!</v>
      </c>
      <c r="O365" s="27">
        <f t="shared" si="13"/>
        <v>1.65E-4</v>
      </c>
      <c r="P365" s="27" t="e">
        <f t="shared" si="14"/>
        <v>#REF!</v>
      </c>
      <c r="Q365" s="25" t="s">
        <v>115</v>
      </c>
      <c r="R365" s="25" t="s">
        <v>108</v>
      </c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</row>
    <row r="366" spans="1:45" ht="44" customHeight="1">
      <c r="A366" s="22" t="s">
        <v>27</v>
      </c>
      <c r="B366" s="23" t="s">
        <v>113</v>
      </c>
      <c r="C366" s="22" t="s">
        <v>125</v>
      </c>
      <c r="D366" s="22" t="s">
        <v>110</v>
      </c>
      <c r="E366" s="23" t="s">
        <v>106</v>
      </c>
      <c r="F366" s="23">
        <v>2574</v>
      </c>
      <c r="G366" s="23">
        <v>227</v>
      </c>
      <c r="H366" s="23">
        <v>0</v>
      </c>
      <c r="I366" s="23">
        <v>2801</v>
      </c>
      <c r="J366" s="23">
        <v>1</v>
      </c>
      <c r="K366" s="23">
        <v>0.1</v>
      </c>
      <c r="L366" s="23">
        <v>1.25</v>
      </c>
      <c r="M366" s="23">
        <v>5</v>
      </c>
      <c r="N366" s="24" t="e">
        <f>MAX(0,F366-H366-#REF!)*J366/1000000 + H366*K366/1000000 +#REF!* L366/1000000</f>
        <v>#REF!</v>
      </c>
      <c r="O366" s="24">
        <f t="shared" si="13"/>
        <v>1.1349999999999999E-3</v>
      </c>
      <c r="P366" s="24" t="e">
        <f t="shared" si="14"/>
        <v>#REF!</v>
      </c>
      <c r="Q366" s="22" t="s">
        <v>115</v>
      </c>
      <c r="R366" s="22" t="s">
        <v>108</v>
      </c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</row>
    <row r="367" spans="1:45" ht="44" customHeight="1">
      <c r="A367" s="25" t="s">
        <v>27</v>
      </c>
      <c r="B367" s="26" t="s">
        <v>113</v>
      </c>
      <c r="C367" s="25" t="s">
        <v>125</v>
      </c>
      <c r="D367" s="25" t="s">
        <v>110</v>
      </c>
      <c r="E367" s="26" t="s">
        <v>106</v>
      </c>
      <c r="F367" s="26">
        <v>2556</v>
      </c>
      <c r="G367" s="26">
        <v>33</v>
      </c>
      <c r="H367" s="26">
        <v>0</v>
      </c>
      <c r="I367" s="26">
        <v>2589</v>
      </c>
      <c r="J367" s="26">
        <v>1</v>
      </c>
      <c r="K367" s="26">
        <v>0.1</v>
      </c>
      <c r="L367" s="26">
        <v>1.25</v>
      </c>
      <c r="M367" s="26">
        <v>5</v>
      </c>
      <c r="N367" s="27" t="e">
        <f>MAX(0,F367-H367-#REF!)*J367/1000000 + H367*K367/1000000 +#REF!* L367/1000000</f>
        <v>#REF!</v>
      </c>
      <c r="O367" s="27">
        <f t="shared" si="13"/>
        <v>1.65E-4</v>
      </c>
      <c r="P367" s="27" t="e">
        <f t="shared" si="14"/>
        <v>#REF!</v>
      </c>
      <c r="Q367" s="25" t="s">
        <v>115</v>
      </c>
      <c r="R367" s="25" t="s">
        <v>108</v>
      </c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</row>
    <row r="368" spans="1:45" ht="44" customHeight="1">
      <c r="A368" s="22" t="s">
        <v>27</v>
      </c>
      <c r="B368" s="23" t="s">
        <v>113</v>
      </c>
      <c r="C368" s="22" t="s">
        <v>125</v>
      </c>
      <c r="D368" s="22" t="s">
        <v>110</v>
      </c>
      <c r="E368" s="23" t="s">
        <v>106</v>
      </c>
      <c r="F368" s="23">
        <v>5756</v>
      </c>
      <c r="G368" s="23">
        <v>437</v>
      </c>
      <c r="H368" s="23">
        <v>0</v>
      </c>
      <c r="I368" s="23">
        <v>6193</v>
      </c>
      <c r="J368" s="23">
        <v>1</v>
      </c>
      <c r="K368" s="23">
        <v>0.1</v>
      </c>
      <c r="L368" s="23">
        <v>1.25</v>
      </c>
      <c r="M368" s="23">
        <v>5</v>
      </c>
      <c r="N368" s="24" t="e">
        <f>MAX(0,F368-H368-#REF!)*J368/1000000 + H368*K368/1000000 +#REF!* L368/1000000</f>
        <v>#REF!</v>
      </c>
      <c r="O368" s="24">
        <f t="shared" si="13"/>
        <v>2.1849999999999999E-3</v>
      </c>
      <c r="P368" s="24" t="e">
        <f t="shared" si="14"/>
        <v>#REF!</v>
      </c>
      <c r="Q368" s="22" t="s">
        <v>115</v>
      </c>
      <c r="R368" s="22" t="s">
        <v>108</v>
      </c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</row>
    <row r="369" spans="1:45" ht="44" customHeight="1">
      <c r="A369" s="25" t="s">
        <v>27</v>
      </c>
      <c r="B369" s="26" t="s">
        <v>113</v>
      </c>
      <c r="C369" s="25" t="s">
        <v>125</v>
      </c>
      <c r="D369" s="25" t="s">
        <v>110</v>
      </c>
      <c r="E369" s="26" t="s">
        <v>106</v>
      </c>
      <c r="F369" s="26">
        <v>3851</v>
      </c>
      <c r="G369" s="26">
        <v>402</v>
      </c>
      <c r="H369" s="26">
        <v>0</v>
      </c>
      <c r="I369" s="26">
        <v>4253</v>
      </c>
      <c r="J369" s="26">
        <v>1</v>
      </c>
      <c r="K369" s="26">
        <v>0.1</v>
      </c>
      <c r="L369" s="26">
        <v>1.25</v>
      </c>
      <c r="M369" s="26">
        <v>5</v>
      </c>
      <c r="N369" s="27" t="e">
        <f>MAX(0,F369-H369-#REF!)*J369/1000000 + H369*K369/1000000 +#REF!* L369/1000000</f>
        <v>#REF!</v>
      </c>
      <c r="O369" s="27">
        <f t="shared" si="13"/>
        <v>2.0100000000000001E-3</v>
      </c>
      <c r="P369" s="27" t="e">
        <f t="shared" si="14"/>
        <v>#REF!</v>
      </c>
      <c r="Q369" s="25" t="s">
        <v>115</v>
      </c>
      <c r="R369" s="25" t="s">
        <v>108</v>
      </c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</row>
    <row r="370" spans="1:45" ht="44" customHeight="1">
      <c r="A370" s="22" t="s">
        <v>27</v>
      </c>
      <c r="B370" s="23" t="s">
        <v>113</v>
      </c>
      <c r="C370" s="22" t="s">
        <v>125</v>
      </c>
      <c r="D370" s="22" t="s">
        <v>110</v>
      </c>
      <c r="E370" s="23" t="s">
        <v>106</v>
      </c>
      <c r="F370" s="23">
        <v>9274</v>
      </c>
      <c r="G370" s="23">
        <v>406</v>
      </c>
      <c r="H370" s="23">
        <v>0</v>
      </c>
      <c r="I370" s="23">
        <v>9680</v>
      </c>
      <c r="J370" s="23">
        <v>1</v>
      </c>
      <c r="K370" s="23">
        <v>0.1</v>
      </c>
      <c r="L370" s="23">
        <v>1.25</v>
      </c>
      <c r="M370" s="23">
        <v>5</v>
      </c>
      <c r="N370" s="24" t="e">
        <f>MAX(0,F370-H370-#REF!)*J370/1000000 + H370*K370/1000000 +#REF!* L370/1000000</f>
        <v>#REF!</v>
      </c>
      <c r="O370" s="24">
        <f t="shared" si="13"/>
        <v>2.0300000000000001E-3</v>
      </c>
      <c r="P370" s="24" t="e">
        <f t="shared" si="14"/>
        <v>#REF!</v>
      </c>
      <c r="Q370" s="22" t="s">
        <v>115</v>
      </c>
      <c r="R370" s="22" t="s">
        <v>108</v>
      </c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</row>
    <row r="371" spans="1:45" ht="44" customHeight="1">
      <c r="A371" s="25" t="s">
        <v>27</v>
      </c>
      <c r="B371" s="26" t="s">
        <v>113</v>
      </c>
      <c r="C371" s="25" t="s">
        <v>125</v>
      </c>
      <c r="D371" s="25" t="s">
        <v>110</v>
      </c>
      <c r="E371" s="26" t="s">
        <v>106</v>
      </c>
      <c r="F371" s="26">
        <v>3628</v>
      </c>
      <c r="G371" s="26">
        <v>430</v>
      </c>
      <c r="H371" s="26">
        <v>0</v>
      </c>
      <c r="I371" s="26">
        <v>4058</v>
      </c>
      <c r="J371" s="26">
        <v>1</v>
      </c>
      <c r="K371" s="26">
        <v>0.1</v>
      </c>
      <c r="L371" s="26">
        <v>1.25</v>
      </c>
      <c r="M371" s="26">
        <v>5</v>
      </c>
      <c r="N371" s="27" t="e">
        <f>MAX(0,F371-H371-#REF!)*J371/1000000 + H371*K371/1000000 +#REF!* L371/1000000</f>
        <v>#REF!</v>
      </c>
      <c r="O371" s="27">
        <f t="shared" si="13"/>
        <v>2.15E-3</v>
      </c>
      <c r="P371" s="27" t="e">
        <f t="shared" si="14"/>
        <v>#REF!</v>
      </c>
      <c r="Q371" s="25" t="s">
        <v>115</v>
      </c>
      <c r="R371" s="25" t="s">
        <v>108</v>
      </c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</row>
    <row r="372" spans="1:45" ht="44" customHeight="1">
      <c r="A372" s="22" t="s">
        <v>27</v>
      </c>
      <c r="B372" s="23" t="s">
        <v>113</v>
      </c>
      <c r="C372" s="22" t="s">
        <v>125</v>
      </c>
      <c r="D372" s="22" t="s">
        <v>110</v>
      </c>
      <c r="E372" s="23" t="s">
        <v>106</v>
      </c>
      <c r="F372" s="23">
        <v>6526</v>
      </c>
      <c r="G372" s="23">
        <v>262</v>
      </c>
      <c r="H372" s="23">
        <v>0</v>
      </c>
      <c r="I372" s="23">
        <v>6788</v>
      </c>
      <c r="J372" s="23">
        <v>1</v>
      </c>
      <c r="K372" s="23">
        <v>0.1</v>
      </c>
      <c r="L372" s="23">
        <v>1.25</v>
      </c>
      <c r="M372" s="23">
        <v>5</v>
      </c>
      <c r="N372" s="24" t="e">
        <f>MAX(0,F372-H372-#REF!)*J372/1000000 + H372*K372/1000000 +#REF!* L372/1000000</f>
        <v>#REF!</v>
      </c>
      <c r="O372" s="24">
        <f t="shared" si="13"/>
        <v>1.31E-3</v>
      </c>
      <c r="P372" s="24" t="e">
        <f t="shared" si="14"/>
        <v>#REF!</v>
      </c>
      <c r="Q372" s="22" t="s">
        <v>115</v>
      </c>
      <c r="R372" s="22" t="s">
        <v>108</v>
      </c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</row>
    <row r="373" spans="1:45" ht="44" customHeight="1">
      <c r="A373" s="25" t="s">
        <v>27</v>
      </c>
      <c r="B373" s="26" t="s">
        <v>113</v>
      </c>
      <c r="C373" s="25" t="s">
        <v>125</v>
      </c>
      <c r="D373" s="25" t="s">
        <v>110</v>
      </c>
      <c r="E373" s="26" t="s">
        <v>106</v>
      </c>
      <c r="F373" s="26">
        <v>3498</v>
      </c>
      <c r="G373" s="26">
        <v>445</v>
      </c>
      <c r="H373" s="26">
        <v>0</v>
      </c>
      <c r="I373" s="26">
        <v>3943</v>
      </c>
      <c r="J373" s="26">
        <v>1</v>
      </c>
      <c r="K373" s="26">
        <v>0.1</v>
      </c>
      <c r="L373" s="26">
        <v>1.25</v>
      </c>
      <c r="M373" s="26">
        <v>5</v>
      </c>
      <c r="N373" s="27" t="e">
        <f>MAX(0,F373-H373-#REF!)*J373/1000000 + H373*K373/1000000 +#REF!* L373/1000000</f>
        <v>#REF!</v>
      </c>
      <c r="O373" s="27">
        <f t="shared" si="13"/>
        <v>2.225E-3</v>
      </c>
      <c r="P373" s="27" t="e">
        <f t="shared" si="14"/>
        <v>#REF!</v>
      </c>
      <c r="Q373" s="25" t="s">
        <v>115</v>
      </c>
      <c r="R373" s="25" t="s">
        <v>108</v>
      </c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</row>
    <row r="374" spans="1:45" ht="44" customHeight="1">
      <c r="A374" s="22" t="s">
        <v>27</v>
      </c>
      <c r="B374" s="23" t="s">
        <v>113</v>
      </c>
      <c r="C374" s="22" t="s">
        <v>125</v>
      </c>
      <c r="D374" s="22" t="s">
        <v>111</v>
      </c>
      <c r="E374" s="23" t="s">
        <v>106</v>
      </c>
      <c r="F374" s="23">
        <v>2057</v>
      </c>
      <c r="G374" s="23">
        <v>33</v>
      </c>
      <c r="H374" s="23">
        <v>0</v>
      </c>
      <c r="I374" s="23">
        <v>2090</v>
      </c>
      <c r="J374" s="23">
        <v>1</v>
      </c>
      <c r="K374" s="23">
        <v>0.1</v>
      </c>
      <c r="L374" s="23">
        <v>1.25</v>
      </c>
      <c r="M374" s="23">
        <v>5</v>
      </c>
      <c r="N374" s="24" t="e">
        <f>MAX(0,F374-H374-#REF!)*J374/1000000 + H374*K374/1000000 +#REF!* L374/1000000</f>
        <v>#REF!</v>
      </c>
      <c r="O374" s="24">
        <f t="shared" si="13"/>
        <v>1.65E-4</v>
      </c>
      <c r="P374" s="24" t="e">
        <f t="shared" si="14"/>
        <v>#REF!</v>
      </c>
      <c r="Q374" s="22" t="s">
        <v>115</v>
      </c>
      <c r="R374" s="22" t="s">
        <v>108</v>
      </c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</row>
    <row r="375" spans="1:45" ht="44" customHeight="1">
      <c r="A375" s="25" t="s">
        <v>27</v>
      </c>
      <c r="B375" s="26" t="s">
        <v>113</v>
      </c>
      <c r="C375" s="25" t="s">
        <v>125</v>
      </c>
      <c r="D375" s="25" t="s">
        <v>111</v>
      </c>
      <c r="E375" s="26" t="s">
        <v>106</v>
      </c>
      <c r="F375" s="26">
        <v>5257</v>
      </c>
      <c r="G375" s="26">
        <v>33</v>
      </c>
      <c r="H375" s="26">
        <v>0</v>
      </c>
      <c r="I375" s="26">
        <v>5290</v>
      </c>
      <c r="J375" s="26">
        <v>1</v>
      </c>
      <c r="K375" s="26">
        <v>0.1</v>
      </c>
      <c r="L375" s="26">
        <v>1.25</v>
      </c>
      <c r="M375" s="26">
        <v>5</v>
      </c>
      <c r="N375" s="27" t="e">
        <f>MAX(0,F375-H375-#REF!)*J375/1000000 + H375*K375/1000000 +#REF!* L375/1000000</f>
        <v>#REF!</v>
      </c>
      <c r="O375" s="27">
        <f t="shared" si="13"/>
        <v>1.65E-4</v>
      </c>
      <c r="P375" s="27" t="e">
        <f t="shared" si="14"/>
        <v>#REF!</v>
      </c>
      <c r="Q375" s="25" t="s">
        <v>115</v>
      </c>
      <c r="R375" s="25" t="s">
        <v>108</v>
      </c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</row>
    <row r="376" spans="1:45" ht="44" customHeight="1">
      <c r="A376" s="22" t="s">
        <v>27</v>
      </c>
      <c r="B376" s="23" t="s">
        <v>113</v>
      </c>
      <c r="C376" s="22" t="s">
        <v>125</v>
      </c>
      <c r="D376" s="22" t="s">
        <v>111</v>
      </c>
      <c r="E376" s="23" t="s">
        <v>106</v>
      </c>
      <c r="F376" s="23">
        <v>6027</v>
      </c>
      <c r="G376" s="23">
        <v>33</v>
      </c>
      <c r="H376" s="23">
        <v>0</v>
      </c>
      <c r="I376" s="23">
        <v>6060</v>
      </c>
      <c r="J376" s="23">
        <v>1</v>
      </c>
      <c r="K376" s="23">
        <v>0.1</v>
      </c>
      <c r="L376" s="23">
        <v>1.25</v>
      </c>
      <c r="M376" s="23">
        <v>5</v>
      </c>
      <c r="N376" s="24" t="e">
        <f>MAX(0,F376-H376-#REF!)*J376/1000000 + H376*K376/1000000 +#REF!* L376/1000000</f>
        <v>#REF!</v>
      </c>
      <c r="O376" s="24">
        <f t="shared" si="13"/>
        <v>1.65E-4</v>
      </c>
      <c r="P376" s="24" t="e">
        <f t="shared" si="14"/>
        <v>#REF!</v>
      </c>
      <c r="Q376" s="22" t="s">
        <v>115</v>
      </c>
      <c r="R376" s="22" t="s">
        <v>108</v>
      </c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</row>
    <row r="377" spans="1:45" ht="44" customHeight="1">
      <c r="A377" s="25" t="s">
        <v>27</v>
      </c>
      <c r="B377" s="26" t="s">
        <v>113</v>
      </c>
      <c r="C377" s="25" t="s">
        <v>125</v>
      </c>
      <c r="D377" s="25" t="s">
        <v>111</v>
      </c>
      <c r="E377" s="26" t="s">
        <v>106</v>
      </c>
      <c r="F377" s="26">
        <v>8775</v>
      </c>
      <c r="G377" s="26">
        <v>33</v>
      </c>
      <c r="H377" s="26">
        <v>0</v>
      </c>
      <c r="I377" s="26">
        <v>8808</v>
      </c>
      <c r="J377" s="26">
        <v>1</v>
      </c>
      <c r="K377" s="26">
        <v>0.1</v>
      </c>
      <c r="L377" s="26">
        <v>1.25</v>
      </c>
      <c r="M377" s="26">
        <v>5</v>
      </c>
      <c r="N377" s="27" t="e">
        <f>MAX(0,F377-H377-#REF!)*J377/1000000 + H377*K377/1000000 +#REF!* L377/1000000</f>
        <v>#REF!</v>
      </c>
      <c r="O377" s="27">
        <f t="shared" si="13"/>
        <v>1.65E-4</v>
      </c>
      <c r="P377" s="27" t="e">
        <f t="shared" si="14"/>
        <v>#REF!</v>
      </c>
      <c r="Q377" s="25" t="s">
        <v>115</v>
      </c>
      <c r="R377" s="25" t="s">
        <v>108</v>
      </c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</row>
    <row r="378" spans="1:45" ht="44" customHeight="1">
      <c r="A378" s="22" t="s">
        <v>27</v>
      </c>
      <c r="B378" s="23" t="s">
        <v>113</v>
      </c>
      <c r="C378" s="22" t="s">
        <v>125</v>
      </c>
      <c r="D378" s="22" t="s">
        <v>111</v>
      </c>
      <c r="E378" s="23" t="s">
        <v>106</v>
      </c>
      <c r="F378" s="23">
        <v>2710</v>
      </c>
      <c r="G378" s="23">
        <v>33</v>
      </c>
      <c r="H378" s="23">
        <v>0</v>
      </c>
      <c r="I378" s="23">
        <v>2743</v>
      </c>
      <c r="J378" s="23">
        <v>1</v>
      </c>
      <c r="K378" s="23">
        <v>0.1</v>
      </c>
      <c r="L378" s="23">
        <v>1.25</v>
      </c>
      <c r="M378" s="23">
        <v>5</v>
      </c>
      <c r="N378" s="24" t="e">
        <f>MAX(0,F378-H378-#REF!)*J378/1000000 + H378*K378/1000000 +#REF!* L378/1000000</f>
        <v>#REF!</v>
      </c>
      <c r="O378" s="24">
        <f t="shared" si="13"/>
        <v>1.65E-4</v>
      </c>
      <c r="P378" s="24" t="e">
        <f t="shared" si="14"/>
        <v>#REF!</v>
      </c>
      <c r="Q378" s="22" t="s">
        <v>115</v>
      </c>
      <c r="R378" s="22" t="s">
        <v>108</v>
      </c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</row>
    <row r="379" spans="1:45" ht="44" customHeight="1">
      <c r="A379" s="25" t="s">
        <v>27</v>
      </c>
      <c r="B379" s="26" t="s">
        <v>113</v>
      </c>
      <c r="C379" s="25" t="s">
        <v>125</v>
      </c>
      <c r="D379" s="25" t="s">
        <v>111</v>
      </c>
      <c r="E379" s="26" t="s">
        <v>106</v>
      </c>
      <c r="F379" s="26">
        <v>1743</v>
      </c>
      <c r="G379" s="26">
        <v>33</v>
      </c>
      <c r="H379" s="26">
        <v>0</v>
      </c>
      <c r="I379" s="26">
        <v>1776</v>
      </c>
      <c r="J379" s="26">
        <v>1</v>
      </c>
      <c r="K379" s="26">
        <v>0.1</v>
      </c>
      <c r="L379" s="26">
        <v>1.25</v>
      </c>
      <c r="M379" s="26">
        <v>5</v>
      </c>
      <c r="N379" s="27" t="e">
        <f>MAX(0,F379-H379-#REF!)*J379/1000000 + H379*K379/1000000 +#REF!* L379/1000000</f>
        <v>#REF!</v>
      </c>
      <c r="O379" s="27">
        <f t="shared" si="13"/>
        <v>1.65E-4</v>
      </c>
      <c r="P379" s="27" t="e">
        <f t="shared" si="14"/>
        <v>#REF!</v>
      </c>
      <c r="Q379" s="25" t="s">
        <v>115</v>
      </c>
      <c r="R379" s="25" t="s">
        <v>108</v>
      </c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</row>
    <row r="380" spans="1:45" ht="44" customHeight="1">
      <c r="A380" s="22" t="s">
        <v>27</v>
      </c>
      <c r="B380" s="23" t="s">
        <v>113</v>
      </c>
      <c r="C380" s="22" t="s">
        <v>125</v>
      </c>
      <c r="D380" s="22" t="s">
        <v>111</v>
      </c>
      <c r="E380" s="23" t="s">
        <v>106</v>
      </c>
      <c r="F380" s="23">
        <v>2075</v>
      </c>
      <c r="G380" s="23">
        <v>33</v>
      </c>
      <c r="H380" s="23">
        <v>0</v>
      </c>
      <c r="I380" s="23">
        <v>2108</v>
      </c>
      <c r="J380" s="23">
        <v>1</v>
      </c>
      <c r="K380" s="23">
        <v>0.1</v>
      </c>
      <c r="L380" s="23">
        <v>1.25</v>
      </c>
      <c r="M380" s="23">
        <v>5</v>
      </c>
      <c r="N380" s="24" t="e">
        <f>MAX(0,F380-H380-#REF!)*J380/1000000 + H380*K380/1000000 +#REF!* L380/1000000</f>
        <v>#REF!</v>
      </c>
      <c r="O380" s="24">
        <f t="shared" si="13"/>
        <v>1.65E-4</v>
      </c>
      <c r="P380" s="24" t="e">
        <f t="shared" si="14"/>
        <v>#REF!</v>
      </c>
      <c r="Q380" s="22" t="s">
        <v>115</v>
      </c>
      <c r="R380" s="22" t="s">
        <v>108</v>
      </c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</row>
    <row r="381" spans="1:45" ht="44" customHeight="1">
      <c r="A381" s="25" t="s">
        <v>27</v>
      </c>
      <c r="B381" s="26" t="s">
        <v>113</v>
      </c>
      <c r="C381" s="25" t="s">
        <v>125</v>
      </c>
      <c r="D381" s="25" t="s">
        <v>111</v>
      </c>
      <c r="E381" s="26" t="s">
        <v>106</v>
      </c>
      <c r="F381" s="26">
        <v>2149</v>
      </c>
      <c r="G381" s="26">
        <v>33</v>
      </c>
      <c r="H381" s="26">
        <v>0</v>
      </c>
      <c r="I381" s="26">
        <v>2182</v>
      </c>
      <c r="J381" s="26">
        <v>1</v>
      </c>
      <c r="K381" s="26">
        <v>0.1</v>
      </c>
      <c r="L381" s="26">
        <v>1.25</v>
      </c>
      <c r="M381" s="26">
        <v>5</v>
      </c>
      <c r="N381" s="27" t="e">
        <f>MAX(0,F381-H381-#REF!)*J381/1000000 + H381*K381/1000000 +#REF!* L381/1000000</f>
        <v>#REF!</v>
      </c>
      <c r="O381" s="27">
        <f t="shared" si="13"/>
        <v>1.65E-4</v>
      </c>
      <c r="P381" s="27" t="e">
        <f t="shared" si="14"/>
        <v>#REF!</v>
      </c>
      <c r="Q381" s="25" t="s">
        <v>115</v>
      </c>
      <c r="R381" s="25" t="s">
        <v>108</v>
      </c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</row>
    <row r="382" spans="1:45" ht="44" customHeight="1">
      <c r="A382" s="22" t="s">
        <v>27</v>
      </c>
      <c r="B382" s="23" t="s">
        <v>113</v>
      </c>
      <c r="C382" s="22" t="s">
        <v>125</v>
      </c>
      <c r="D382" s="22" t="s">
        <v>111</v>
      </c>
      <c r="E382" s="23" t="s">
        <v>106</v>
      </c>
      <c r="F382" s="23">
        <v>3352</v>
      </c>
      <c r="G382" s="23">
        <v>33</v>
      </c>
      <c r="H382" s="23">
        <v>0</v>
      </c>
      <c r="I382" s="23">
        <v>3385</v>
      </c>
      <c r="J382" s="23">
        <v>1</v>
      </c>
      <c r="K382" s="23">
        <v>0.1</v>
      </c>
      <c r="L382" s="23">
        <v>1.25</v>
      </c>
      <c r="M382" s="23">
        <v>5</v>
      </c>
      <c r="N382" s="24" t="e">
        <f>MAX(0,F382-H382-#REF!)*J382/1000000 + H382*K382/1000000 +#REF!* L382/1000000</f>
        <v>#REF!</v>
      </c>
      <c r="O382" s="24">
        <f t="shared" si="13"/>
        <v>1.65E-4</v>
      </c>
      <c r="P382" s="24" t="e">
        <f t="shared" si="14"/>
        <v>#REF!</v>
      </c>
      <c r="Q382" s="22" t="s">
        <v>115</v>
      </c>
      <c r="R382" s="22" t="s">
        <v>108</v>
      </c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</row>
    <row r="383" spans="1:45" ht="44" customHeight="1">
      <c r="A383" s="25" t="s">
        <v>27</v>
      </c>
      <c r="B383" s="26" t="s">
        <v>113</v>
      </c>
      <c r="C383" s="25" t="s">
        <v>125</v>
      </c>
      <c r="D383" s="25" t="s">
        <v>111</v>
      </c>
      <c r="E383" s="26" t="s">
        <v>106</v>
      </c>
      <c r="F383" s="26">
        <v>3227</v>
      </c>
      <c r="G383" s="26">
        <v>33</v>
      </c>
      <c r="H383" s="26">
        <v>0</v>
      </c>
      <c r="I383" s="26">
        <v>3260</v>
      </c>
      <c r="J383" s="26">
        <v>1</v>
      </c>
      <c r="K383" s="26">
        <v>0.1</v>
      </c>
      <c r="L383" s="26">
        <v>1.25</v>
      </c>
      <c r="M383" s="26">
        <v>5</v>
      </c>
      <c r="N383" s="27" t="e">
        <f>MAX(0,F383-H383-#REF!)*J383/1000000 + H383*K383/1000000 +#REF!* L383/1000000</f>
        <v>#REF!</v>
      </c>
      <c r="O383" s="27">
        <f t="shared" si="13"/>
        <v>1.65E-4</v>
      </c>
      <c r="P383" s="27" t="e">
        <f t="shared" si="14"/>
        <v>#REF!</v>
      </c>
      <c r="Q383" s="25" t="s">
        <v>115</v>
      </c>
      <c r="R383" s="25" t="s">
        <v>108</v>
      </c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</row>
    <row r="384" spans="1:45" ht="44" customHeight="1">
      <c r="A384" s="22" t="s">
        <v>27</v>
      </c>
      <c r="B384" s="23" t="s">
        <v>113</v>
      </c>
      <c r="C384" s="22" t="s">
        <v>125</v>
      </c>
      <c r="D384" s="22" t="s">
        <v>111</v>
      </c>
      <c r="E384" s="23" t="s">
        <v>106</v>
      </c>
      <c r="F384" s="23">
        <v>3129</v>
      </c>
      <c r="G384" s="23">
        <v>33</v>
      </c>
      <c r="H384" s="23">
        <v>0</v>
      </c>
      <c r="I384" s="23">
        <v>3162</v>
      </c>
      <c r="J384" s="23">
        <v>1</v>
      </c>
      <c r="K384" s="23">
        <v>0.1</v>
      </c>
      <c r="L384" s="23">
        <v>1.25</v>
      </c>
      <c r="M384" s="23">
        <v>5</v>
      </c>
      <c r="N384" s="24" t="e">
        <f>MAX(0,F384-H384-#REF!)*J384/1000000 + H384*K384/1000000 +#REF!* L384/1000000</f>
        <v>#REF!</v>
      </c>
      <c r="O384" s="24">
        <f t="shared" si="13"/>
        <v>1.65E-4</v>
      </c>
      <c r="P384" s="24" t="e">
        <f t="shared" si="14"/>
        <v>#REF!</v>
      </c>
      <c r="Q384" s="22" t="s">
        <v>115</v>
      </c>
      <c r="R384" s="22" t="s">
        <v>108</v>
      </c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</row>
    <row r="385" spans="1:45" ht="44" customHeight="1">
      <c r="A385" s="25" t="s">
        <v>27</v>
      </c>
      <c r="B385" s="26" t="s">
        <v>113</v>
      </c>
      <c r="C385" s="25" t="s">
        <v>125</v>
      </c>
      <c r="D385" s="25" t="s">
        <v>111</v>
      </c>
      <c r="E385" s="26" t="s">
        <v>106</v>
      </c>
      <c r="F385" s="26">
        <v>2999</v>
      </c>
      <c r="G385" s="26">
        <v>33</v>
      </c>
      <c r="H385" s="26">
        <v>0</v>
      </c>
      <c r="I385" s="26">
        <v>3032</v>
      </c>
      <c r="J385" s="26">
        <v>1</v>
      </c>
      <c r="K385" s="26">
        <v>0.1</v>
      </c>
      <c r="L385" s="26">
        <v>1.25</v>
      </c>
      <c r="M385" s="26">
        <v>5</v>
      </c>
      <c r="N385" s="27" t="e">
        <f>MAX(0,F385-H385-#REF!)*J385/1000000 + H385*K385/1000000 +#REF!* L385/1000000</f>
        <v>#REF!</v>
      </c>
      <c r="O385" s="27">
        <f t="shared" si="13"/>
        <v>1.65E-4</v>
      </c>
      <c r="P385" s="27" t="e">
        <f t="shared" si="14"/>
        <v>#REF!</v>
      </c>
      <c r="Q385" s="25" t="s">
        <v>115</v>
      </c>
      <c r="R385" s="25" t="s">
        <v>108</v>
      </c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</row>
    <row r="386" spans="1:45" ht="44" customHeight="1">
      <c r="A386" s="22" t="s">
        <v>27</v>
      </c>
      <c r="B386" s="23" t="s">
        <v>113</v>
      </c>
      <c r="C386" s="22" t="s">
        <v>125</v>
      </c>
      <c r="D386" s="22" t="s">
        <v>112</v>
      </c>
      <c r="E386" s="23" t="s">
        <v>106</v>
      </c>
      <c r="F386" s="23">
        <v>2940</v>
      </c>
      <c r="G386" s="23">
        <v>355</v>
      </c>
      <c r="H386" s="23">
        <v>0</v>
      </c>
      <c r="I386" s="23">
        <v>3295</v>
      </c>
      <c r="J386" s="23">
        <v>1</v>
      </c>
      <c r="K386" s="23">
        <v>0.1</v>
      </c>
      <c r="L386" s="23">
        <v>1.25</v>
      </c>
      <c r="M386" s="23">
        <v>5</v>
      </c>
      <c r="N386" s="24" t="e">
        <f>MAX(0,F386-H386-#REF!)*J386/1000000 + H386*K386/1000000 +#REF!* L386/1000000</f>
        <v>#REF!</v>
      </c>
      <c r="O386" s="24">
        <f t="shared" si="13"/>
        <v>1.7750000000000001E-3</v>
      </c>
      <c r="P386" s="24" t="e">
        <f t="shared" si="14"/>
        <v>#REF!</v>
      </c>
      <c r="Q386" s="22" t="s">
        <v>115</v>
      </c>
      <c r="R386" s="22" t="s">
        <v>108</v>
      </c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</row>
    <row r="387" spans="1:45" ht="44" customHeight="1">
      <c r="A387" s="25" t="s">
        <v>27</v>
      </c>
      <c r="B387" s="26" t="s">
        <v>113</v>
      </c>
      <c r="C387" s="25" t="s">
        <v>125</v>
      </c>
      <c r="D387" s="25" t="s">
        <v>112</v>
      </c>
      <c r="E387" s="26" t="s">
        <v>106</v>
      </c>
      <c r="F387" s="26">
        <v>2077</v>
      </c>
      <c r="G387" s="26">
        <v>471</v>
      </c>
      <c r="H387" s="26">
        <v>0</v>
      </c>
      <c r="I387" s="26">
        <v>2548</v>
      </c>
      <c r="J387" s="26">
        <v>1</v>
      </c>
      <c r="K387" s="26">
        <v>0.1</v>
      </c>
      <c r="L387" s="26">
        <v>1.25</v>
      </c>
      <c r="M387" s="26">
        <v>5</v>
      </c>
      <c r="N387" s="27" t="e">
        <f>MAX(0,F387-H387-#REF!)*J387/1000000 + H387*K387/1000000 +#REF!* L387/1000000</f>
        <v>#REF!</v>
      </c>
      <c r="O387" s="27">
        <f t="shared" si="13"/>
        <v>2.3549999999999999E-3</v>
      </c>
      <c r="P387" s="27" t="e">
        <f t="shared" si="14"/>
        <v>#REF!</v>
      </c>
      <c r="Q387" s="25" t="s">
        <v>115</v>
      </c>
      <c r="R387" s="25" t="s">
        <v>108</v>
      </c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</row>
    <row r="388" spans="1:45" ht="44" customHeight="1">
      <c r="A388" s="22" t="s">
        <v>27</v>
      </c>
      <c r="B388" s="23" t="s">
        <v>113</v>
      </c>
      <c r="C388" s="22" t="s">
        <v>125</v>
      </c>
      <c r="D388" s="22" t="s">
        <v>112</v>
      </c>
      <c r="E388" s="23" t="s">
        <v>106</v>
      </c>
      <c r="F388" s="23">
        <v>2817</v>
      </c>
      <c r="G388" s="23">
        <v>453</v>
      </c>
      <c r="H388" s="23">
        <v>0</v>
      </c>
      <c r="I388" s="23">
        <v>3270</v>
      </c>
      <c r="J388" s="23">
        <v>1</v>
      </c>
      <c r="K388" s="23">
        <v>0.1</v>
      </c>
      <c r="L388" s="23">
        <v>1.25</v>
      </c>
      <c r="M388" s="23">
        <v>5</v>
      </c>
      <c r="N388" s="24" t="e">
        <f>MAX(0,F388-H388-#REF!)*J388/1000000 + H388*K388/1000000 +#REF!* L388/1000000</f>
        <v>#REF!</v>
      </c>
      <c r="O388" s="24">
        <f t="shared" si="13"/>
        <v>2.2650000000000001E-3</v>
      </c>
      <c r="P388" s="24" t="e">
        <f t="shared" si="14"/>
        <v>#REF!</v>
      </c>
      <c r="Q388" s="22" t="s">
        <v>115</v>
      </c>
      <c r="R388" s="22" t="s">
        <v>108</v>
      </c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</row>
    <row r="389" spans="1:45" ht="44" customHeight="1">
      <c r="A389" s="25" t="s">
        <v>27</v>
      </c>
      <c r="B389" s="26" t="s">
        <v>113</v>
      </c>
      <c r="C389" s="25" t="s">
        <v>125</v>
      </c>
      <c r="D389" s="25" t="s">
        <v>112</v>
      </c>
      <c r="E389" s="26" t="s">
        <v>106</v>
      </c>
      <c r="F389" s="26">
        <v>5122</v>
      </c>
      <c r="G389" s="26">
        <v>428</v>
      </c>
      <c r="H389" s="26">
        <v>0</v>
      </c>
      <c r="I389" s="26">
        <v>5550</v>
      </c>
      <c r="J389" s="26">
        <v>1</v>
      </c>
      <c r="K389" s="26">
        <v>0.1</v>
      </c>
      <c r="L389" s="26">
        <v>1.25</v>
      </c>
      <c r="M389" s="26">
        <v>5</v>
      </c>
      <c r="N389" s="27" t="e">
        <f>MAX(0,F389-H389-#REF!)*J389/1000000 + H389*K389/1000000 +#REF!* L389/1000000</f>
        <v>#REF!</v>
      </c>
      <c r="O389" s="27">
        <f t="shared" si="13"/>
        <v>2.14E-3</v>
      </c>
      <c r="P389" s="27" t="e">
        <f t="shared" si="14"/>
        <v>#REF!</v>
      </c>
      <c r="Q389" s="25" t="s">
        <v>115</v>
      </c>
      <c r="R389" s="25" t="s">
        <v>108</v>
      </c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</row>
    <row r="390" spans="1:45" ht="44" customHeight="1">
      <c r="A390" s="22" t="s">
        <v>27</v>
      </c>
      <c r="B390" s="23" t="s">
        <v>113</v>
      </c>
      <c r="C390" s="22" t="s">
        <v>125</v>
      </c>
      <c r="D390" s="22" t="s">
        <v>112</v>
      </c>
      <c r="E390" s="23" t="s">
        <v>106</v>
      </c>
      <c r="F390" s="23">
        <v>6837</v>
      </c>
      <c r="G390" s="23">
        <v>487</v>
      </c>
      <c r="H390" s="23">
        <v>0</v>
      </c>
      <c r="I390" s="23">
        <v>7324</v>
      </c>
      <c r="J390" s="23">
        <v>1</v>
      </c>
      <c r="K390" s="23">
        <v>0.1</v>
      </c>
      <c r="L390" s="23">
        <v>1.25</v>
      </c>
      <c r="M390" s="23">
        <v>5</v>
      </c>
      <c r="N390" s="24" t="e">
        <f>MAX(0,F390-H390-#REF!)*J390/1000000 + H390*K390/1000000 +#REF!* L390/1000000</f>
        <v>#REF!</v>
      </c>
      <c r="O390" s="24">
        <f t="shared" si="13"/>
        <v>2.4350000000000001E-3</v>
      </c>
      <c r="P390" s="24" t="e">
        <f t="shared" si="14"/>
        <v>#REF!</v>
      </c>
      <c r="Q390" s="22" t="s">
        <v>115</v>
      </c>
      <c r="R390" s="22" t="s">
        <v>108</v>
      </c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</row>
    <row r="391" spans="1:45" ht="44" customHeight="1">
      <c r="A391" s="25" t="s">
        <v>27</v>
      </c>
      <c r="B391" s="26" t="s">
        <v>113</v>
      </c>
      <c r="C391" s="25" t="s">
        <v>125</v>
      </c>
      <c r="D391" s="25" t="s">
        <v>112</v>
      </c>
      <c r="E391" s="26" t="s">
        <v>106</v>
      </c>
      <c r="F391" s="26">
        <v>2972</v>
      </c>
      <c r="G391" s="26">
        <v>531</v>
      </c>
      <c r="H391" s="26">
        <v>0</v>
      </c>
      <c r="I391" s="26">
        <v>3503</v>
      </c>
      <c r="J391" s="26">
        <v>1</v>
      </c>
      <c r="K391" s="26">
        <v>0.1</v>
      </c>
      <c r="L391" s="26">
        <v>1.25</v>
      </c>
      <c r="M391" s="26">
        <v>5</v>
      </c>
      <c r="N391" s="27" t="e">
        <f>MAX(0,F391-H391-#REF!)*J391/1000000 + H391*K391/1000000 +#REF!* L391/1000000</f>
        <v>#REF!</v>
      </c>
      <c r="O391" s="27">
        <f t="shared" si="13"/>
        <v>2.6549999999999998E-3</v>
      </c>
      <c r="P391" s="27" t="e">
        <f t="shared" si="14"/>
        <v>#REF!</v>
      </c>
      <c r="Q391" s="25" t="s">
        <v>115</v>
      </c>
      <c r="R391" s="25" t="s">
        <v>108</v>
      </c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</row>
    <row r="392" spans="1:45" ht="44" customHeight="1">
      <c r="A392" s="22" t="s">
        <v>27</v>
      </c>
      <c r="B392" s="23" t="s">
        <v>113</v>
      </c>
      <c r="C392" s="22" t="s">
        <v>125</v>
      </c>
      <c r="D392" s="22" t="s">
        <v>112</v>
      </c>
      <c r="E392" s="23" t="s">
        <v>106</v>
      </c>
      <c r="F392" s="23">
        <v>2203</v>
      </c>
      <c r="G392" s="23">
        <v>669</v>
      </c>
      <c r="H392" s="23">
        <v>0</v>
      </c>
      <c r="I392" s="23">
        <v>2872</v>
      </c>
      <c r="J392" s="23">
        <v>1</v>
      </c>
      <c r="K392" s="23">
        <v>0.1</v>
      </c>
      <c r="L392" s="23">
        <v>1.25</v>
      </c>
      <c r="M392" s="23">
        <v>5</v>
      </c>
      <c r="N392" s="24" t="e">
        <f>MAX(0,F392-H392-#REF!)*J392/1000000 + H392*K392/1000000 +#REF!* L392/1000000</f>
        <v>#REF!</v>
      </c>
      <c r="O392" s="24">
        <f t="shared" si="13"/>
        <v>3.3449999999999999E-3</v>
      </c>
      <c r="P392" s="24" t="e">
        <f t="shared" si="14"/>
        <v>#REF!</v>
      </c>
      <c r="Q392" s="22" t="s">
        <v>115</v>
      </c>
      <c r="R392" s="22" t="s">
        <v>108</v>
      </c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</row>
    <row r="393" spans="1:45" ht="44" customHeight="1">
      <c r="A393" s="25" t="s">
        <v>27</v>
      </c>
      <c r="B393" s="26" t="s">
        <v>113</v>
      </c>
      <c r="C393" s="25" t="s">
        <v>125</v>
      </c>
      <c r="D393" s="25" t="s">
        <v>112</v>
      </c>
      <c r="E393" s="26" t="s">
        <v>106</v>
      </c>
      <c r="F393" s="26">
        <v>3112</v>
      </c>
      <c r="G393" s="26">
        <v>662</v>
      </c>
      <c r="H393" s="26">
        <v>0</v>
      </c>
      <c r="I393" s="26">
        <v>3774</v>
      </c>
      <c r="J393" s="26">
        <v>1</v>
      </c>
      <c r="K393" s="26">
        <v>0.1</v>
      </c>
      <c r="L393" s="26">
        <v>1.25</v>
      </c>
      <c r="M393" s="26">
        <v>5</v>
      </c>
      <c r="N393" s="27" t="e">
        <f>MAX(0,F393-H393-#REF!)*J393/1000000 + H393*K393/1000000 +#REF!* L393/1000000</f>
        <v>#REF!</v>
      </c>
      <c r="O393" s="27">
        <f t="shared" si="13"/>
        <v>3.31E-3</v>
      </c>
      <c r="P393" s="27" t="e">
        <f t="shared" si="14"/>
        <v>#REF!</v>
      </c>
      <c r="Q393" s="25" t="s">
        <v>115</v>
      </c>
      <c r="R393" s="25" t="s">
        <v>108</v>
      </c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</row>
    <row r="394" spans="1:45" ht="44" customHeight="1">
      <c r="A394" s="22" t="s">
        <v>27</v>
      </c>
      <c r="B394" s="23" t="s">
        <v>113</v>
      </c>
      <c r="C394" s="22" t="s">
        <v>125</v>
      </c>
      <c r="D394" s="22" t="s">
        <v>112</v>
      </c>
      <c r="E394" s="23" t="s">
        <v>106</v>
      </c>
      <c r="F394" s="23">
        <v>4745</v>
      </c>
      <c r="G394" s="23">
        <v>844</v>
      </c>
      <c r="H394" s="23">
        <v>0</v>
      </c>
      <c r="I394" s="23">
        <v>5589</v>
      </c>
      <c r="J394" s="23">
        <v>1</v>
      </c>
      <c r="K394" s="23">
        <v>0.1</v>
      </c>
      <c r="L394" s="23">
        <v>1.25</v>
      </c>
      <c r="M394" s="23">
        <v>5</v>
      </c>
      <c r="N394" s="24" t="e">
        <f>MAX(0,F394-H394-#REF!)*J394/1000000 + H394*K394/1000000 +#REF!* L394/1000000</f>
        <v>#REF!</v>
      </c>
      <c r="O394" s="24">
        <f t="shared" si="13"/>
        <v>4.2199999999999998E-3</v>
      </c>
      <c r="P394" s="24" t="e">
        <f t="shared" si="14"/>
        <v>#REF!</v>
      </c>
      <c r="Q394" s="22" t="s">
        <v>115</v>
      </c>
      <c r="R394" s="22" t="s">
        <v>108</v>
      </c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</row>
    <row r="395" spans="1:45" ht="44" customHeight="1">
      <c r="A395" s="25" t="s">
        <v>27</v>
      </c>
      <c r="B395" s="26" t="s">
        <v>113</v>
      </c>
      <c r="C395" s="25" t="s">
        <v>125</v>
      </c>
      <c r="D395" s="25" t="s">
        <v>112</v>
      </c>
      <c r="E395" s="26" t="s">
        <v>106</v>
      </c>
      <c r="F395" s="26">
        <v>2684</v>
      </c>
      <c r="G395" s="26">
        <v>568</v>
      </c>
      <c r="H395" s="26">
        <v>0</v>
      </c>
      <c r="I395" s="26">
        <v>3252</v>
      </c>
      <c r="J395" s="26">
        <v>1</v>
      </c>
      <c r="K395" s="26">
        <v>0.1</v>
      </c>
      <c r="L395" s="26">
        <v>1.25</v>
      </c>
      <c r="M395" s="26">
        <v>5</v>
      </c>
      <c r="N395" s="27" t="e">
        <f>MAX(0,F395-H395-#REF!)*J395/1000000 + H395*K395/1000000 +#REF!* L395/1000000</f>
        <v>#REF!</v>
      </c>
      <c r="O395" s="27">
        <f t="shared" si="13"/>
        <v>2.8400000000000001E-3</v>
      </c>
      <c r="P395" s="27" t="e">
        <f t="shared" si="14"/>
        <v>#REF!</v>
      </c>
      <c r="Q395" s="25" t="s">
        <v>115</v>
      </c>
      <c r="R395" s="25" t="s">
        <v>108</v>
      </c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</row>
    <row r="396" spans="1:45" ht="44" customHeight="1">
      <c r="A396" s="22" t="s">
        <v>29</v>
      </c>
      <c r="B396" s="23" t="s">
        <v>113</v>
      </c>
      <c r="C396" s="22" t="s">
        <v>114</v>
      </c>
      <c r="D396" s="22" t="s">
        <v>105</v>
      </c>
      <c r="E396" s="23" t="s">
        <v>106</v>
      </c>
      <c r="F396" s="23">
        <v>7572</v>
      </c>
      <c r="G396" s="23">
        <v>585</v>
      </c>
      <c r="H396" s="23">
        <v>0</v>
      </c>
      <c r="I396" s="23">
        <v>8157</v>
      </c>
      <c r="J396" s="23">
        <v>3</v>
      </c>
      <c r="K396" s="23">
        <v>0.3</v>
      </c>
      <c r="L396" s="23">
        <v>3.75</v>
      </c>
      <c r="M396" s="23">
        <v>15</v>
      </c>
      <c r="N396" s="24" t="e">
        <f>MAX(0,F396-H396-#REF!)*J396/1000000 + H396*K396/1000000 +#REF!* L396/1000000</f>
        <v>#REF!</v>
      </c>
      <c r="O396" s="24">
        <f t="shared" si="13"/>
        <v>8.7749999999999998E-3</v>
      </c>
      <c r="P396" s="24" t="e">
        <f t="shared" si="14"/>
        <v>#REF!</v>
      </c>
      <c r="Q396" s="22" t="s">
        <v>115</v>
      </c>
      <c r="R396" s="22" t="s">
        <v>108</v>
      </c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</row>
    <row r="397" spans="1:45" ht="44" customHeight="1">
      <c r="A397" s="25" t="s">
        <v>29</v>
      </c>
      <c r="B397" s="26" t="s">
        <v>113</v>
      </c>
      <c r="C397" s="25" t="s">
        <v>114</v>
      </c>
      <c r="D397" s="25" t="s">
        <v>109</v>
      </c>
      <c r="E397" s="26" t="s">
        <v>106</v>
      </c>
      <c r="F397" s="26">
        <v>3744</v>
      </c>
      <c r="G397" s="26">
        <v>33</v>
      </c>
      <c r="H397" s="26">
        <v>0</v>
      </c>
      <c r="I397" s="26">
        <v>3777</v>
      </c>
      <c r="J397" s="26">
        <v>3</v>
      </c>
      <c r="K397" s="26">
        <v>0.3</v>
      </c>
      <c r="L397" s="26">
        <v>3.75</v>
      </c>
      <c r="M397" s="26">
        <v>15</v>
      </c>
      <c r="N397" s="27" t="e">
        <f>MAX(0,F397-H397-#REF!)*J397/1000000 + H397*K397/1000000 +#REF!* L397/1000000</f>
        <v>#REF!</v>
      </c>
      <c r="O397" s="27">
        <f t="shared" si="13"/>
        <v>4.95E-4</v>
      </c>
      <c r="P397" s="27" t="e">
        <f t="shared" si="14"/>
        <v>#REF!</v>
      </c>
      <c r="Q397" s="25" t="s">
        <v>115</v>
      </c>
      <c r="R397" s="25" t="s">
        <v>108</v>
      </c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</row>
    <row r="398" spans="1:45" ht="44" customHeight="1">
      <c r="A398" s="22" t="s">
        <v>29</v>
      </c>
      <c r="B398" s="23" t="s">
        <v>113</v>
      </c>
      <c r="C398" s="22" t="s">
        <v>114</v>
      </c>
      <c r="D398" s="22" t="s">
        <v>109</v>
      </c>
      <c r="E398" s="23" t="s">
        <v>106</v>
      </c>
      <c r="F398" s="23">
        <v>6544</v>
      </c>
      <c r="G398" s="23">
        <v>33</v>
      </c>
      <c r="H398" s="23">
        <v>0</v>
      </c>
      <c r="I398" s="23">
        <v>6577</v>
      </c>
      <c r="J398" s="23">
        <v>3</v>
      </c>
      <c r="K398" s="23">
        <v>0.3</v>
      </c>
      <c r="L398" s="23">
        <v>3.75</v>
      </c>
      <c r="M398" s="23">
        <v>15</v>
      </c>
      <c r="N398" s="24" t="e">
        <f>MAX(0,F398-H398-#REF!)*J398/1000000 + H398*K398/1000000 +#REF!* L398/1000000</f>
        <v>#REF!</v>
      </c>
      <c r="O398" s="24">
        <f t="shared" si="13"/>
        <v>4.95E-4</v>
      </c>
      <c r="P398" s="24" t="e">
        <f t="shared" si="14"/>
        <v>#REF!</v>
      </c>
      <c r="Q398" s="22" t="s">
        <v>115</v>
      </c>
      <c r="R398" s="22" t="s">
        <v>108</v>
      </c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</row>
    <row r="399" spans="1:45" ht="44" customHeight="1">
      <c r="A399" s="25" t="s">
        <v>29</v>
      </c>
      <c r="B399" s="26" t="s">
        <v>113</v>
      </c>
      <c r="C399" s="25" t="s">
        <v>114</v>
      </c>
      <c r="D399" s="25" t="s">
        <v>109</v>
      </c>
      <c r="E399" s="26" t="s">
        <v>106</v>
      </c>
      <c r="F399" s="26">
        <v>3869</v>
      </c>
      <c r="G399" s="26">
        <v>33</v>
      </c>
      <c r="H399" s="26">
        <v>0</v>
      </c>
      <c r="I399" s="26">
        <v>3902</v>
      </c>
      <c r="J399" s="26">
        <v>3</v>
      </c>
      <c r="K399" s="26">
        <v>0.3</v>
      </c>
      <c r="L399" s="26">
        <v>3.75</v>
      </c>
      <c r="M399" s="26">
        <v>15</v>
      </c>
      <c r="N399" s="27" t="e">
        <f>MAX(0,F399-H399-#REF!)*J399/1000000 + H399*K399/1000000 +#REF!* L399/1000000</f>
        <v>#REF!</v>
      </c>
      <c r="O399" s="27">
        <f t="shared" si="13"/>
        <v>4.95E-4</v>
      </c>
      <c r="P399" s="27" t="e">
        <f t="shared" si="14"/>
        <v>#REF!</v>
      </c>
      <c r="Q399" s="25" t="s">
        <v>115</v>
      </c>
      <c r="R399" s="25" t="s">
        <v>108</v>
      </c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</row>
    <row r="400" spans="1:45" ht="44" customHeight="1">
      <c r="A400" s="22" t="s">
        <v>29</v>
      </c>
      <c r="B400" s="23" t="s">
        <v>113</v>
      </c>
      <c r="C400" s="22" t="s">
        <v>114</v>
      </c>
      <c r="D400" s="22" t="s">
        <v>109</v>
      </c>
      <c r="E400" s="23" t="s">
        <v>106</v>
      </c>
      <c r="F400" s="23">
        <v>5774</v>
      </c>
      <c r="G400" s="23">
        <v>33</v>
      </c>
      <c r="H400" s="23">
        <v>0</v>
      </c>
      <c r="I400" s="23">
        <v>5807</v>
      </c>
      <c r="J400" s="23">
        <v>3</v>
      </c>
      <c r="K400" s="23">
        <v>0.3</v>
      </c>
      <c r="L400" s="23">
        <v>3.75</v>
      </c>
      <c r="M400" s="23">
        <v>15</v>
      </c>
      <c r="N400" s="24" t="e">
        <f>MAX(0,F400-H400-#REF!)*J400/1000000 + H400*K400/1000000 +#REF!* L400/1000000</f>
        <v>#REF!</v>
      </c>
      <c r="O400" s="24">
        <f t="shared" si="13"/>
        <v>4.95E-4</v>
      </c>
      <c r="P400" s="24" t="e">
        <f t="shared" si="14"/>
        <v>#REF!</v>
      </c>
      <c r="Q400" s="22" t="s">
        <v>115</v>
      </c>
      <c r="R400" s="22" t="s">
        <v>108</v>
      </c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</row>
    <row r="401" spans="1:45" ht="44" customHeight="1">
      <c r="A401" s="25" t="s">
        <v>29</v>
      </c>
      <c r="B401" s="26" t="s">
        <v>113</v>
      </c>
      <c r="C401" s="25" t="s">
        <v>114</v>
      </c>
      <c r="D401" s="25" t="s">
        <v>109</v>
      </c>
      <c r="E401" s="26" t="s">
        <v>106</v>
      </c>
      <c r="F401" s="26">
        <v>2574</v>
      </c>
      <c r="G401" s="26">
        <v>33</v>
      </c>
      <c r="H401" s="26">
        <v>0</v>
      </c>
      <c r="I401" s="26">
        <v>2607</v>
      </c>
      <c r="J401" s="26">
        <v>3</v>
      </c>
      <c r="K401" s="26">
        <v>0.3</v>
      </c>
      <c r="L401" s="26">
        <v>3.75</v>
      </c>
      <c r="M401" s="26">
        <v>15</v>
      </c>
      <c r="N401" s="27" t="e">
        <f>MAX(0,F401-H401-#REF!)*J401/1000000 + H401*K401/1000000 +#REF!* L401/1000000</f>
        <v>#REF!</v>
      </c>
      <c r="O401" s="27">
        <f t="shared" si="13"/>
        <v>4.95E-4</v>
      </c>
      <c r="P401" s="27" t="e">
        <f t="shared" si="14"/>
        <v>#REF!</v>
      </c>
      <c r="Q401" s="25" t="s">
        <v>115</v>
      </c>
      <c r="R401" s="25" t="s">
        <v>108</v>
      </c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</row>
    <row r="402" spans="1:45" ht="44" customHeight="1">
      <c r="A402" s="22" t="s">
        <v>29</v>
      </c>
      <c r="B402" s="23" t="s">
        <v>113</v>
      </c>
      <c r="C402" s="22" t="s">
        <v>114</v>
      </c>
      <c r="D402" s="22" t="s">
        <v>109</v>
      </c>
      <c r="E402" s="23" t="s">
        <v>106</v>
      </c>
      <c r="F402" s="23">
        <v>2592</v>
      </c>
      <c r="G402" s="23">
        <v>33</v>
      </c>
      <c r="H402" s="23">
        <v>0</v>
      </c>
      <c r="I402" s="23">
        <v>2625</v>
      </c>
      <c r="J402" s="23">
        <v>3</v>
      </c>
      <c r="K402" s="23">
        <v>0.3</v>
      </c>
      <c r="L402" s="23">
        <v>3.75</v>
      </c>
      <c r="M402" s="23">
        <v>15</v>
      </c>
      <c r="N402" s="24" t="e">
        <f>MAX(0,F402-H402-#REF!)*J402/1000000 + H402*K402/1000000 +#REF!* L402/1000000</f>
        <v>#REF!</v>
      </c>
      <c r="O402" s="24">
        <f t="shared" si="13"/>
        <v>4.95E-4</v>
      </c>
      <c r="P402" s="24" t="e">
        <f t="shared" si="14"/>
        <v>#REF!</v>
      </c>
      <c r="Q402" s="22" t="s">
        <v>115</v>
      </c>
      <c r="R402" s="22" t="s">
        <v>108</v>
      </c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</row>
    <row r="403" spans="1:45" ht="44" customHeight="1">
      <c r="A403" s="25" t="s">
        <v>29</v>
      </c>
      <c r="B403" s="26" t="s">
        <v>113</v>
      </c>
      <c r="C403" s="25" t="s">
        <v>114</v>
      </c>
      <c r="D403" s="25" t="s">
        <v>109</v>
      </c>
      <c r="E403" s="26" t="s">
        <v>106</v>
      </c>
      <c r="F403" s="26">
        <v>3227</v>
      </c>
      <c r="G403" s="26">
        <v>33</v>
      </c>
      <c r="H403" s="26">
        <v>0</v>
      </c>
      <c r="I403" s="26">
        <v>3260</v>
      </c>
      <c r="J403" s="26">
        <v>3</v>
      </c>
      <c r="K403" s="26">
        <v>0.3</v>
      </c>
      <c r="L403" s="26">
        <v>3.75</v>
      </c>
      <c r="M403" s="26">
        <v>15</v>
      </c>
      <c r="N403" s="27" t="e">
        <f>MAX(0,F403-H403-#REF!)*J403/1000000 + H403*K403/1000000 +#REF!* L403/1000000</f>
        <v>#REF!</v>
      </c>
      <c r="O403" s="27">
        <f t="shared" si="13"/>
        <v>4.95E-4</v>
      </c>
      <c r="P403" s="27" t="e">
        <f t="shared" si="14"/>
        <v>#REF!</v>
      </c>
      <c r="Q403" s="25" t="s">
        <v>115</v>
      </c>
      <c r="R403" s="25" t="s">
        <v>108</v>
      </c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</row>
    <row r="404" spans="1:45" ht="44" customHeight="1">
      <c r="A404" s="22" t="s">
        <v>29</v>
      </c>
      <c r="B404" s="23" t="s">
        <v>113</v>
      </c>
      <c r="C404" s="22" t="s">
        <v>114</v>
      </c>
      <c r="D404" s="22" t="s">
        <v>109</v>
      </c>
      <c r="E404" s="23" t="s">
        <v>106</v>
      </c>
      <c r="F404" s="23">
        <v>2260</v>
      </c>
      <c r="G404" s="23">
        <v>33</v>
      </c>
      <c r="H404" s="23">
        <v>0</v>
      </c>
      <c r="I404" s="23">
        <v>2293</v>
      </c>
      <c r="J404" s="23">
        <v>3</v>
      </c>
      <c r="K404" s="23">
        <v>0.3</v>
      </c>
      <c r="L404" s="23">
        <v>3.75</v>
      </c>
      <c r="M404" s="23">
        <v>15</v>
      </c>
      <c r="N404" s="24" t="e">
        <f>MAX(0,F404-H404-#REF!)*J404/1000000 + H404*K404/1000000 +#REF!* L404/1000000</f>
        <v>#REF!</v>
      </c>
      <c r="O404" s="24">
        <f t="shared" si="13"/>
        <v>4.95E-4</v>
      </c>
      <c r="P404" s="24" t="e">
        <f t="shared" si="14"/>
        <v>#REF!</v>
      </c>
      <c r="Q404" s="22" t="s">
        <v>115</v>
      </c>
      <c r="R404" s="22" t="s">
        <v>108</v>
      </c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</row>
    <row r="405" spans="1:45" ht="44" customHeight="1">
      <c r="A405" s="25" t="s">
        <v>29</v>
      </c>
      <c r="B405" s="26" t="s">
        <v>113</v>
      </c>
      <c r="C405" s="25" t="s">
        <v>114</v>
      </c>
      <c r="D405" s="25" t="s">
        <v>109</v>
      </c>
      <c r="E405" s="26" t="s">
        <v>106</v>
      </c>
      <c r="F405" s="26">
        <v>2666</v>
      </c>
      <c r="G405" s="26">
        <v>33</v>
      </c>
      <c r="H405" s="26">
        <v>0</v>
      </c>
      <c r="I405" s="26">
        <v>2699</v>
      </c>
      <c r="J405" s="26">
        <v>3</v>
      </c>
      <c r="K405" s="26">
        <v>0.3</v>
      </c>
      <c r="L405" s="26">
        <v>3.75</v>
      </c>
      <c r="M405" s="26">
        <v>15</v>
      </c>
      <c r="N405" s="27" t="e">
        <f>MAX(0,F405-H405-#REF!)*J405/1000000 + H405*K405/1000000 +#REF!* L405/1000000</f>
        <v>#REF!</v>
      </c>
      <c r="O405" s="27">
        <f t="shared" si="13"/>
        <v>4.95E-4</v>
      </c>
      <c r="P405" s="27" t="e">
        <f t="shared" si="14"/>
        <v>#REF!</v>
      </c>
      <c r="Q405" s="25" t="s">
        <v>115</v>
      </c>
      <c r="R405" s="25" t="s">
        <v>108</v>
      </c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</row>
    <row r="406" spans="1:45" ht="44" customHeight="1">
      <c r="A406" s="22" t="s">
        <v>29</v>
      </c>
      <c r="B406" s="23" t="s">
        <v>113</v>
      </c>
      <c r="C406" s="22" t="s">
        <v>114</v>
      </c>
      <c r="D406" s="22" t="s">
        <v>109</v>
      </c>
      <c r="E406" s="23" t="s">
        <v>106</v>
      </c>
      <c r="F406" s="23">
        <v>9292</v>
      </c>
      <c r="G406" s="23">
        <v>33</v>
      </c>
      <c r="H406" s="23">
        <v>0</v>
      </c>
      <c r="I406" s="23">
        <v>9325</v>
      </c>
      <c r="J406" s="23">
        <v>3</v>
      </c>
      <c r="K406" s="23">
        <v>0.3</v>
      </c>
      <c r="L406" s="23">
        <v>3.75</v>
      </c>
      <c r="M406" s="23">
        <v>15</v>
      </c>
      <c r="N406" s="24" t="e">
        <f>MAX(0,F406-H406-#REF!)*J406/1000000 + H406*K406/1000000 +#REF!* L406/1000000</f>
        <v>#REF!</v>
      </c>
      <c r="O406" s="24">
        <f t="shared" si="13"/>
        <v>4.95E-4</v>
      </c>
      <c r="P406" s="24" t="e">
        <f t="shared" si="14"/>
        <v>#REF!</v>
      </c>
      <c r="Q406" s="22" t="s">
        <v>115</v>
      </c>
      <c r="R406" s="22" t="s">
        <v>108</v>
      </c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</row>
    <row r="407" spans="1:45" ht="44" customHeight="1">
      <c r="A407" s="25" t="s">
        <v>29</v>
      </c>
      <c r="B407" s="26" t="s">
        <v>113</v>
      </c>
      <c r="C407" s="25" t="s">
        <v>114</v>
      </c>
      <c r="D407" s="25" t="s">
        <v>109</v>
      </c>
      <c r="E407" s="26" t="s">
        <v>106</v>
      </c>
      <c r="F407" s="26">
        <v>3646</v>
      </c>
      <c r="G407" s="26">
        <v>33</v>
      </c>
      <c r="H407" s="26">
        <v>0</v>
      </c>
      <c r="I407" s="26">
        <v>3679</v>
      </c>
      <c r="J407" s="26">
        <v>3</v>
      </c>
      <c r="K407" s="26">
        <v>0.3</v>
      </c>
      <c r="L407" s="26">
        <v>3.75</v>
      </c>
      <c r="M407" s="26">
        <v>15</v>
      </c>
      <c r="N407" s="27" t="e">
        <f>MAX(0,F407-H407-#REF!)*J407/1000000 + H407*K407/1000000 +#REF!* L407/1000000</f>
        <v>#REF!</v>
      </c>
      <c r="O407" s="27">
        <f t="shared" ref="O407:O438" si="15">G407*M407/1000000</f>
        <v>4.95E-4</v>
      </c>
      <c r="P407" s="27" t="e">
        <f t="shared" ref="P407:P438" si="16">N407+O407</f>
        <v>#REF!</v>
      </c>
      <c r="Q407" s="25" t="s">
        <v>115</v>
      </c>
      <c r="R407" s="25" t="s">
        <v>108</v>
      </c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</row>
    <row r="408" spans="1:45" ht="44" customHeight="1">
      <c r="A408" s="22" t="s">
        <v>29</v>
      </c>
      <c r="B408" s="23" t="s">
        <v>113</v>
      </c>
      <c r="C408" s="22" t="s">
        <v>114</v>
      </c>
      <c r="D408" s="22" t="s">
        <v>109</v>
      </c>
      <c r="E408" s="23" t="s">
        <v>106</v>
      </c>
      <c r="F408" s="23">
        <v>3516</v>
      </c>
      <c r="G408" s="23">
        <v>33</v>
      </c>
      <c r="H408" s="23">
        <v>0</v>
      </c>
      <c r="I408" s="23">
        <v>3549</v>
      </c>
      <c r="J408" s="23">
        <v>3</v>
      </c>
      <c r="K408" s="23">
        <v>0.3</v>
      </c>
      <c r="L408" s="23">
        <v>3.75</v>
      </c>
      <c r="M408" s="23">
        <v>15</v>
      </c>
      <c r="N408" s="24" t="e">
        <f>MAX(0,F408-H408-#REF!)*J408/1000000 + H408*K408/1000000 +#REF!* L408/1000000</f>
        <v>#REF!</v>
      </c>
      <c r="O408" s="24">
        <f t="shared" si="15"/>
        <v>4.95E-4</v>
      </c>
      <c r="P408" s="24" t="e">
        <f t="shared" si="16"/>
        <v>#REF!</v>
      </c>
      <c r="Q408" s="22" t="s">
        <v>115</v>
      </c>
      <c r="R408" s="22" t="s">
        <v>108</v>
      </c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</row>
    <row r="409" spans="1:45" ht="44" customHeight="1">
      <c r="A409" s="25" t="s">
        <v>29</v>
      </c>
      <c r="B409" s="26" t="s">
        <v>113</v>
      </c>
      <c r="C409" s="25" t="s">
        <v>114</v>
      </c>
      <c r="D409" s="25" t="s">
        <v>110</v>
      </c>
      <c r="E409" s="26" t="s">
        <v>106</v>
      </c>
      <c r="F409" s="26">
        <v>2242</v>
      </c>
      <c r="G409" s="26">
        <v>33</v>
      </c>
      <c r="H409" s="26">
        <v>0</v>
      </c>
      <c r="I409" s="26">
        <v>2275</v>
      </c>
      <c r="J409" s="26">
        <v>3</v>
      </c>
      <c r="K409" s="26">
        <v>0.3</v>
      </c>
      <c r="L409" s="26">
        <v>3.75</v>
      </c>
      <c r="M409" s="26">
        <v>15</v>
      </c>
      <c r="N409" s="27" t="e">
        <f>MAX(0,F409-H409-#REF!)*J409/1000000 + H409*K409/1000000 +#REF!* L409/1000000</f>
        <v>#REF!</v>
      </c>
      <c r="O409" s="27">
        <f t="shared" si="15"/>
        <v>4.95E-4</v>
      </c>
      <c r="P409" s="27" t="e">
        <f t="shared" si="16"/>
        <v>#REF!</v>
      </c>
      <c r="Q409" s="25" t="s">
        <v>115</v>
      </c>
      <c r="R409" s="25" t="s">
        <v>108</v>
      </c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</row>
    <row r="410" spans="1:45" ht="44" customHeight="1">
      <c r="A410" s="22" t="s">
        <v>29</v>
      </c>
      <c r="B410" s="23" t="s">
        <v>113</v>
      </c>
      <c r="C410" s="22" t="s">
        <v>114</v>
      </c>
      <c r="D410" s="22" t="s">
        <v>110</v>
      </c>
      <c r="E410" s="23" t="s">
        <v>106</v>
      </c>
      <c r="F410" s="23">
        <v>2556</v>
      </c>
      <c r="G410" s="23">
        <v>33</v>
      </c>
      <c r="H410" s="23">
        <v>0</v>
      </c>
      <c r="I410" s="23">
        <v>2589</v>
      </c>
      <c r="J410" s="23">
        <v>3</v>
      </c>
      <c r="K410" s="23">
        <v>0.3</v>
      </c>
      <c r="L410" s="23">
        <v>3.75</v>
      </c>
      <c r="M410" s="23">
        <v>15</v>
      </c>
      <c r="N410" s="24" t="e">
        <f>MAX(0,F410-H410-#REF!)*J410/1000000 + H410*K410/1000000 +#REF!* L410/1000000</f>
        <v>#REF!</v>
      </c>
      <c r="O410" s="24">
        <f t="shared" si="15"/>
        <v>4.95E-4</v>
      </c>
      <c r="P410" s="24" t="e">
        <f t="shared" si="16"/>
        <v>#REF!</v>
      </c>
      <c r="Q410" s="22" t="s">
        <v>115</v>
      </c>
      <c r="R410" s="22" t="s">
        <v>108</v>
      </c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</row>
    <row r="411" spans="1:45" ht="44" customHeight="1">
      <c r="A411" s="25" t="s">
        <v>29</v>
      </c>
      <c r="B411" s="26" t="s">
        <v>113</v>
      </c>
      <c r="C411" s="25" t="s">
        <v>114</v>
      </c>
      <c r="D411" s="25" t="s">
        <v>110</v>
      </c>
      <c r="E411" s="26" t="s">
        <v>106</v>
      </c>
      <c r="F411" s="26">
        <v>6526</v>
      </c>
      <c r="G411" s="26">
        <v>33</v>
      </c>
      <c r="H411" s="26">
        <v>0</v>
      </c>
      <c r="I411" s="26">
        <v>6559</v>
      </c>
      <c r="J411" s="26">
        <v>3</v>
      </c>
      <c r="K411" s="26">
        <v>0.3</v>
      </c>
      <c r="L411" s="26">
        <v>3.75</v>
      </c>
      <c r="M411" s="26">
        <v>15</v>
      </c>
      <c r="N411" s="27" t="e">
        <f>MAX(0,F411-H411-#REF!)*J411/1000000 + H411*K411/1000000 +#REF!* L411/1000000</f>
        <v>#REF!</v>
      </c>
      <c r="O411" s="27">
        <f t="shared" si="15"/>
        <v>4.95E-4</v>
      </c>
      <c r="P411" s="27" t="e">
        <f t="shared" si="16"/>
        <v>#REF!</v>
      </c>
      <c r="Q411" s="25" t="s">
        <v>115</v>
      </c>
      <c r="R411" s="25" t="s">
        <v>108</v>
      </c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</row>
    <row r="412" spans="1:45" ht="44" customHeight="1">
      <c r="A412" s="22" t="s">
        <v>29</v>
      </c>
      <c r="B412" s="23" t="s">
        <v>113</v>
      </c>
      <c r="C412" s="22" t="s">
        <v>114</v>
      </c>
      <c r="D412" s="22" t="s">
        <v>110</v>
      </c>
      <c r="E412" s="23" t="s">
        <v>106</v>
      </c>
      <c r="F412" s="23">
        <v>3209</v>
      </c>
      <c r="G412" s="23">
        <v>33</v>
      </c>
      <c r="H412" s="23">
        <v>0</v>
      </c>
      <c r="I412" s="23">
        <v>3242</v>
      </c>
      <c r="J412" s="23">
        <v>3</v>
      </c>
      <c r="K412" s="23">
        <v>0.3</v>
      </c>
      <c r="L412" s="23">
        <v>3.75</v>
      </c>
      <c r="M412" s="23">
        <v>15</v>
      </c>
      <c r="N412" s="24" t="e">
        <f>MAX(0,F412-H412-#REF!)*J412/1000000 + H412*K412/1000000 +#REF!* L412/1000000</f>
        <v>#REF!</v>
      </c>
      <c r="O412" s="24">
        <f t="shared" si="15"/>
        <v>4.95E-4</v>
      </c>
      <c r="P412" s="24" t="e">
        <f t="shared" si="16"/>
        <v>#REF!</v>
      </c>
      <c r="Q412" s="22" t="s">
        <v>115</v>
      </c>
      <c r="R412" s="22" t="s">
        <v>108</v>
      </c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</row>
    <row r="413" spans="1:45" ht="44" customHeight="1">
      <c r="A413" s="25" t="s">
        <v>29</v>
      </c>
      <c r="B413" s="26" t="s">
        <v>113</v>
      </c>
      <c r="C413" s="25" t="s">
        <v>114</v>
      </c>
      <c r="D413" s="25" t="s">
        <v>110</v>
      </c>
      <c r="E413" s="26" t="s">
        <v>106</v>
      </c>
      <c r="F413" s="26">
        <v>9274</v>
      </c>
      <c r="G413" s="26">
        <v>33</v>
      </c>
      <c r="H413" s="26">
        <v>0</v>
      </c>
      <c r="I413" s="26">
        <v>9307</v>
      </c>
      <c r="J413" s="26">
        <v>3</v>
      </c>
      <c r="K413" s="26">
        <v>0.3</v>
      </c>
      <c r="L413" s="26">
        <v>3.75</v>
      </c>
      <c r="M413" s="26">
        <v>15</v>
      </c>
      <c r="N413" s="27" t="e">
        <f>MAX(0,F413-H413-#REF!)*J413/1000000 + H413*K413/1000000 +#REF!* L413/1000000</f>
        <v>#REF!</v>
      </c>
      <c r="O413" s="27">
        <f t="shared" si="15"/>
        <v>4.95E-4</v>
      </c>
      <c r="P413" s="27" t="e">
        <f t="shared" si="16"/>
        <v>#REF!</v>
      </c>
      <c r="Q413" s="25" t="s">
        <v>115</v>
      </c>
      <c r="R413" s="25" t="s">
        <v>108</v>
      </c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</row>
    <row r="414" spans="1:45" ht="44" customHeight="1">
      <c r="A414" s="22" t="s">
        <v>29</v>
      </c>
      <c r="B414" s="23" t="s">
        <v>113</v>
      </c>
      <c r="C414" s="22" t="s">
        <v>114</v>
      </c>
      <c r="D414" s="22" t="s">
        <v>110</v>
      </c>
      <c r="E414" s="23" t="s">
        <v>106</v>
      </c>
      <c r="F414" s="23">
        <v>3726</v>
      </c>
      <c r="G414" s="23">
        <v>33</v>
      </c>
      <c r="H414" s="23">
        <v>0</v>
      </c>
      <c r="I414" s="23">
        <v>3759</v>
      </c>
      <c r="J414" s="23">
        <v>3</v>
      </c>
      <c r="K414" s="23">
        <v>0.3</v>
      </c>
      <c r="L414" s="23">
        <v>3.75</v>
      </c>
      <c r="M414" s="23">
        <v>15</v>
      </c>
      <c r="N414" s="24" t="e">
        <f>MAX(0,F414-H414-#REF!)*J414/1000000 + H414*K414/1000000 +#REF!* L414/1000000</f>
        <v>#REF!</v>
      </c>
      <c r="O414" s="24">
        <f t="shared" si="15"/>
        <v>4.95E-4</v>
      </c>
      <c r="P414" s="24" t="e">
        <f t="shared" si="16"/>
        <v>#REF!</v>
      </c>
      <c r="Q414" s="22" t="s">
        <v>115</v>
      </c>
      <c r="R414" s="22" t="s">
        <v>108</v>
      </c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</row>
    <row r="415" spans="1:45" ht="44" customHeight="1">
      <c r="A415" s="25" t="s">
        <v>29</v>
      </c>
      <c r="B415" s="26" t="s">
        <v>113</v>
      </c>
      <c r="C415" s="25" t="s">
        <v>114</v>
      </c>
      <c r="D415" s="25" t="s">
        <v>110</v>
      </c>
      <c r="E415" s="26" t="s">
        <v>106</v>
      </c>
      <c r="F415" s="26">
        <v>3851</v>
      </c>
      <c r="G415" s="26">
        <v>243</v>
      </c>
      <c r="H415" s="26">
        <v>0</v>
      </c>
      <c r="I415" s="26">
        <v>4094</v>
      </c>
      <c r="J415" s="26">
        <v>3</v>
      </c>
      <c r="K415" s="26">
        <v>0.3</v>
      </c>
      <c r="L415" s="26">
        <v>3.75</v>
      </c>
      <c r="M415" s="26">
        <v>15</v>
      </c>
      <c r="N415" s="27" t="e">
        <f>MAX(0,F415-H415-#REF!)*J415/1000000 + H415*K415/1000000 +#REF!* L415/1000000</f>
        <v>#REF!</v>
      </c>
      <c r="O415" s="27">
        <f t="shared" si="15"/>
        <v>3.6449999999999998E-3</v>
      </c>
      <c r="P415" s="27" t="e">
        <f t="shared" si="16"/>
        <v>#REF!</v>
      </c>
      <c r="Q415" s="25" t="s">
        <v>115</v>
      </c>
      <c r="R415" s="25" t="s">
        <v>108</v>
      </c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</row>
    <row r="416" spans="1:45" ht="44" customHeight="1">
      <c r="A416" s="22" t="s">
        <v>29</v>
      </c>
      <c r="B416" s="23" t="s">
        <v>113</v>
      </c>
      <c r="C416" s="22" t="s">
        <v>114</v>
      </c>
      <c r="D416" s="22" t="s">
        <v>110</v>
      </c>
      <c r="E416" s="23" t="s">
        <v>106</v>
      </c>
      <c r="F416" s="23">
        <v>2574</v>
      </c>
      <c r="G416" s="23">
        <v>266</v>
      </c>
      <c r="H416" s="23">
        <v>0</v>
      </c>
      <c r="I416" s="23">
        <v>2840</v>
      </c>
      <c r="J416" s="23">
        <v>3</v>
      </c>
      <c r="K416" s="23">
        <v>0.3</v>
      </c>
      <c r="L416" s="23">
        <v>3.75</v>
      </c>
      <c r="M416" s="23">
        <v>15</v>
      </c>
      <c r="N416" s="24" t="e">
        <f>MAX(0,F416-H416-#REF!)*J416/1000000 + H416*K416/1000000 +#REF!* L416/1000000</f>
        <v>#REF!</v>
      </c>
      <c r="O416" s="24">
        <f t="shared" si="15"/>
        <v>3.9899999999999996E-3</v>
      </c>
      <c r="P416" s="24" t="e">
        <f t="shared" si="16"/>
        <v>#REF!</v>
      </c>
      <c r="Q416" s="22" t="s">
        <v>115</v>
      </c>
      <c r="R416" s="22" t="s">
        <v>108</v>
      </c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</row>
    <row r="417" spans="1:45" ht="44" customHeight="1">
      <c r="A417" s="25" t="s">
        <v>29</v>
      </c>
      <c r="B417" s="26" t="s">
        <v>113</v>
      </c>
      <c r="C417" s="25" t="s">
        <v>114</v>
      </c>
      <c r="D417" s="25" t="s">
        <v>110</v>
      </c>
      <c r="E417" s="26" t="s">
        <v>106</v>
      </c>
      <c r="F417" s="26">
        <v>3628</v>
      </c>
      <c r="G417" s="26">
        <v>231</v>
      </c>
      <c r="H417" s="26">
        <v>0</v>
      </c>
      <c r="I417" s="26">
        <v>3859</v>
      </c>
      <c r="J417" s="26">
        <v>3</v>
      </c>
      <c r="K417" s="26">
        <v>0.3</v>
      </c>
      <c r="L417" s="26">
        <v>3.75</v>
      </c>
      <c r="M417" s="26">
        <v>15</v>
      </c>
      <c r="N417" s="27" t="e">
        <f>MAX(0,F417-H417-#REF!)*J417/1000000 + H417*K417/1000000 +#REF!* L417/1000000</f>
        <v>#REF!</v>
      </c>
      <c r="O417" s="27">
        <f t="shared" si="15"/>
        <v>3.4650000000000002E-3</v>
      </c>
      <c r="P417" s="27" t="e">
        <f t="shared" si="16"/>
        <v>#REF!</v>
      </c>
      <c r="Q417" s="25" t="s">
        <v>115</v>
      </c>
      <c r="R417" s="25" t="s">
        <v>108</v>
      </c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</row>
    <row r="418" spans="1:45" ht="44" customHeight="1">
      <c r="A418" s="22" t="s">
        <v>29</v>
      </c>
      <c r="B418" s="23" t="s">
        <v>113</v>
      </c>
      <c r="C418" s="22" t="s">
        <v>114</v>
      </c>
      <c r="D418" s="22" t="s">
        <v>110</v>
      </c>
      <c r="E418" s="23" t="s">
        <v>106</v>
      </c>
      <c r="F418" s="23">
        <v>2648</v>
      </c>
      <c r="G418" s="23">
        <v>392</v>
      </c>
      <c r="H418" s="23">
        <v>0</v>
      </c>
      <c r="I418" s="23">
        <v>3040</v>
      </c>
      <c r="J418" s="23">
        <v>3</v>
      </c>
      <c r="K418" s="23">
        <v>0.3</v>
      </c>
      <c r="L418" s="23">
        <v>3.75</v>
      </c>
      <c r="M418" s="23">
        <v>15</v>
      </c>
      <c r="N418" s="24" t="e">
        <f>MAX(0,F418-H418-#REF!)*J418/1000000 + H418*K418/1000000 +#REF!* L418/1000000</f>
        <v>#REF!</v>
      </c>
      <c r="O418" s="24">
        <f t="shared" si="15"/>
        <v>5.8799999999999998E-3</v>
      </c>
      <c r="P418" s="24" t="e">
        <f t="shared" si="16"/>
        <v>#REF!</v>
      </c>
      <c r="Q418" s="22" t="s">
        <v>115</v>
      </c>
      <c r="R418" s="22" t="s">
        <v>108</v>
      </c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</row>
    <row r="419" spans="1:45" ht="44" customHeight="1">
      <c r="A419" s="25" t="s">
        <v>29</v>
      </c>
      <c r="B419" s="26" t="s">
        <v>113</v>
      </c>
      <c r="C419" s="25" t="s">
        <v>114</v>
      </c>
      <c r="D419" s="25" t="s">
        <v>110</v>
      </c>
      <c r="E419" s="26" t="s">
        <v>106</v>
      </c>
      <c r="F419" s="26">
        <v>3498</v>
      </c>
      <c r="G419" s="26">
        <v>399</v>
      </c>
      <c r="H419" s="26">
        <v>0</v>
      </c>
      <c r="I419" s="26">
        <v>3897</v>
      </c>
      <c r="J419" s="26">
        <v>3</v>
      </c>
      <c r="K419" s="26">
        <v>0.3</v>
      </c>
      <c r="L419" s="26">
        <v>3.75</v>
      </c>
      <c r="M419" s="26">
        <v>15</v>
      </c>
      <c r="N419" s="27" t="e">
        <f>MAX(0,F419-H419-#REF!)*J419/1000000 + H419*K419/1000000 +#REF!* L419/1000000</f>
        <v>#REF!</v>
      </c>
      <c r="O419" s="27">
        <f t="shared" si="15"/>
        <v>5.9849999999999999E-3</v>
      </c>
      <c r="P419" s="27" t="e">
        <f t="shared" si="16"/>
        <v>#REF!</v>
      </c>
      <c r="Q419" s="25" t="s">
        <v>115</v>
      </c>
      <c r="R419" s="25" t="s">
        <v>108</v>
      </c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</row>
    <row r="420" spans="1:45" ht="44" customHeight="1">
      <c r="A420" s="22" t="s">
        <v>29</v>
      </c>
      <c r="B420" s="23" t="s">
        <v>113</v>
      </c>
      <c r="C420" s="22" t="s">
        <v>114</v>
      </c>
      <c r="D420" s="22" t="s">
        <v>110</v>
      </c>
      <c r="E420" s="23" t="s">
        <v>106</v>
      </c>
      <c r="F420" s="23">
        <v>5756</v>
      </c>
      <c r="G420" s="23">
        <v>560</v>
      </c>
      <c r="H420" s="23">
        <v>0</v>
      </c>
      <c r="I420" s="23">
        <v>6316</v>
      </c>
      <c r="J420" s="23">
        <v>3</v>
      </c>
      <c r="K420" s="23">
        <v>0.3</v>
      </c>
      <c r="L420" s="23">
        <v>3.75</v>
      </c>
      <c r="M420" s="23">
        <v>15</v>
      </c>
      <c r="N420" s="24" t="e">
        <f>MAX(0,F420-H420-#REF!)*J420/1000000 + H420*K420/1000000 +#REF!* L420/1000000</f>
        <v>#REF!</v>
      </c>
      <c r="O420" s="24">
        <f t="shared" si="15"/>
        <v>8.3999999999999995E-3</v>
      </c>
      <c r="P420" s="24" t="e">
        <f t="shared" si="16"/>
        <v>#REF!</v>
      </c>
      <c r="Q420" s="22" t="s">
        <v>115</v>
      </c>
      <c r="R420" s="22" t="s">
        <v>108</v>
      </c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</row>
    <row r="421" spans="1:45" ht="44" customHeight="1">
      <c r="A421" s="25" t="s">
        <v>29</v>
      </c>
      <c r="B421" s="26" t="s">
        <v>113</v>
      </c>
      <c r="C421" s="25" t="s">
        <v>114</v>
      </c>
      <c r="D421" s="25" t="s">
        <v>111</v>
      </c>
      <c r="E421" s="26" t="s">
        <v>106</v>
      </c>
      <c r="F421" s="26">
        <v>2057</v>
      </c>
      <c r="G421" s="26">
        <v>33</v>
      </c>
      <c r="H421" s="26">
        <v>0</v>
      </c>
      <c r="I421" s="26">
        <v>2090</v>
      </c>
      <c r="J421" s="26">
        <v>3</v>
      </c>
      <c r="K421" s="26">
        <v>0.3</v>
      </c>
      <c r="L421" s="26">
        <v>3.75</v>
      </c>
      <c r="M421" s="26">
        <v>15</v>
      </c>
      <c r="N421" s="27" t="e">
        <f>MAX(0,F421-H421-#REF!)*J421/1000000 + H421*K421/1000000 +#REF!* L421/1000000</f>
        <v>#REF!</v>
      </c>
      <c r="O421" s="27">
        <f t="shared" si="15"/>
        <v>4.95E-4</v>
      </c>
      <c r="P421" s="27" t="e">
        <f t="shared" si="16"/>
        <v>#REF!</v>
      </c>
      <c r="Q421" s="25" t="s">
        <v>115</v>
      </c>
      <c r="R421" s="25" t="s">
        <v>108</v>
      </c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</row>
    <row r="422" spans="1:45" ht="44" customHeight="1">
      <c r="A422" s="22" t="s">
        <v>29</v>
      </c>
      <c r="B422" s="23" t="s">
        <v>113</v>
      </c>
      <c r="C422" s="22" t="s">
        <v>114</v>
      </c>
      <c r="D422" s="22" t="s">
        <v>111</v>
      </c>
      <c r="E422" s="23" t="s">
        <v>106</v>
      </c>
      <c r="F422" s="23">
        <v>5257</v>
      </c>
      <c r="G422" s="23">
        <v>33</v>
      </c>
      <c r="H422" s="23">
        <v>0</v>
      </c>
      <c r="I422" s="23">
        <v>5290</v>
      </c>
      <c r="J422" s="23">
        <v>3</v>
      </c>
      <c r="K422" s="23">
        <v>0.3</v>
      </c>
      <c r="L422" s="23">
        <v>3.75</v>
      </c>
      <c r="M422" s="23">
        <v>15</v>
      </c>
      <c r="N422" s="24" t="e">
        <f>MAX(0,F422-H422-#REF!)*J422/1000000 + H422*K422/1000000 +#REF!* L422/1000000</f>
        <v>#REF!</v>
      </c>
      <c r="O422" s="24">
        <f t="shared" si="15"/>
        <v>4.95E-4</v>
      </c>
      <c r="P422" s="24" t="e">
        <f t="shared" si="16"/>
        <v>#REF!</v>
      </c>
      <c r="Q422" s="22" t="s">
        <v>115</v>
      </c>
      <c r="R422" s="22" t="s">
        <v>108</v>
      </c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</row>
    <row r="423" spans="1:45" ht="44" customHeight="1">
      <c r="A423" s="25" t="s">
        <v>29</v>
      </c>
      <c r="B423" s="26" t="s">
        <v>113</v>
      </c>
      <c r="C423" s="25" t="s">
        <v>114</v>
      </c>
      <c r="D423" s="25" t="s">
        <v>111</v>
      </c>
      <c r="E423" s="26" t="s">
        <v>106</v>
      </c>
      <c r="F423" s="26">
        <v>6027</v>
      </c>
      <c r="G423" s="26">
        <v>33</v>
      </c>
      <c r="H423" s="26">
        <v>0</v>
      </c>
      <c r="I423" s="26">
        <v>6060</v>
      </c>
      <c r="J423" s="26">
        <v>3</v>
      </c>
      <c r="K423" s="26">
        <v>0.3</v>
      </c>
      <c r="L423" s="26">
        <v>3.75</v>
      </c>
      <c r="M423" s="26">
        <v>15</v>
      </c>
      <c r="N423" s="27" t="e">
        <f>MAX(0,F423-H423-#REF!)*J423/1000000 + H423*K423/1000000 +#REF!* L423/1000000</f>
        <v>#REF!</v>
      </c>
      <c r="O423" s="27">
        <f t="shared" si="15"/>
        <v>4.95E-4</v>
      </c>
      <c r="P423" s="27" t="e">
        <f t="shared" si="16"/>
        <v>#REF!</v>
      </c>
      <c r="Q423" s="25" t="s">
        <v>115</v>
      </c>
      <c r="R423" s="25" t="s">
        <v>108</v>
      </c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</row>
    <row r="424" spans="1:45" ht="44" customHeight="1">
      <c r="A424" s="22" t="s">
        <v>29</v>
      </c>
      <c r="B424" s="23" t="s">
        <v>113</v>
      </c>
      <c r="C424" s="22" t="s">
        <v>114</v>
      </c>
      <c r="D424" s="22" t="s">
        <v>111</v>
      </c>
      <c r="E424" s="23" t="s">
        <v>106</v>
      </c>
      <c r="F424" s="23">
        <v>8775</v>
      </c>
      <c r="G424" s="23">
        <v>33</v>
      </c>
      <c r="H424" s="23">
        <v>0</v>
      </c>
      <c r="I424" s="23">
        <v>8808</v>
      </c>
      <c r="J424" s="23">
        <v>3</v>
      </c>
      <c r="K424" s="23">
        <v>0.3</v>
      </c>
      <c r="L424" s="23">
        <v>3.75</v>
      </c>
      <c r="M424" s="23">
        <v>15</v>
      </c>
      <c r="N424" s="24" t="e">
        <f>MAX(0,F424-H424-#REF!)*J424/1000000 + H424*K424/1000000 +#REF!* L424/1000000</f>
        <v>#REF!</v>
      </c>
      <c r="O424" s="24">
        <f t="shared" si="15"/>
        <v>4.95E-4</v>
      </c>
      <c r="P424" s="24" t="e">
        <f t="shared" si="16"/>
        <v>#REF!</v>
      </c>
      <c r="Q424" s="22" t="s">
        <v>115</v>
      </c>
      <c r="R424" s="22" t="s">
        <v>108</v>
      </c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</row>
    <row r="425" spans="1:45" ht="44" customHeight="1">
      <c r="A425" s="25" t="s">
        <v>29</v>
      </c>
      <c r="B425" s="26" t="s">
        <v>113</v>
      </c>
      <c r="C425" s="25" t="s">
        <v>114</v>
      </c>
      <c r="D425" s="25" t="s">
        <v>111</v>
      </c>
      <c r="E425" s="26" t="s">
        <v>106</v>
      </c>
      <c r="F425" s="26">
        <v>2710</v>
      </c>
      <c r="G425" s="26">
        <v>33</v>
      </c>
      <c r="H425" s="26">
        <v>0</v>
      </c>
      <c r="I425" s="26">
        <v>2743</v>
      </c>
      <c r="J425" s="26">
        <v>3</v>
      </c>
      <c r="K425" s="26">
        <v>0.3</v>
      </c>
      <c r="L425" s="26">
        <v>3.75</v>
      </c>
      <c r="M425" s="26">
        <v>15</v>
      </c>
      <c r="N425" s="27" t="e">
        <f>MAX(0,F425-H425-#REF!)*J425/1000000 + H425*K425/1000000 +#REF!* L425/1000000</f>
        <v>#REF!</v>
      </c>
      <c r="O425" s="27">
        <f t="shared" si="15"/>
        <v>4.95E-4</v>
      </c>
      <c r="P425" s="27" t="e">
        <f t="shared" si="16"/>
        <v>#REF!</v>
      </c>
      <c r="Q425" s="25" t="s">
        <v>115</v>
      </c>
      <c r="R425" s="25" t="s">
        <v>108</v>
      </c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</row>
    <row r="426" spans="1:45" ht="44" customHeight="1">
      <c r="A426" s="22" t="s">
        <v>29</v>
      </c>
      <c r="B426" s="23" t="s">
        <v>113</v>
      </c>
      <c r="C426" s="22" t="s">
        <v>114</v>
      </c>
      <c r="D426" s="22" t="s">
        <v>111</v>
      </c>
      <c r="E426" s="23" t="s">
        <v>106</v>
      </c>
      <c r="F426" s="23">
        <v>1743</v>
      </c>
      <c r="G426" s="23">
        <v>33</v>
      </c>
      <c r="H426" s="23">
        <v>0</v>
      </c>
      <c r="I426" s="23">
        <v>1776</v>
      </c>
      <c r="J426" s="23">
        <v>3</v>
      </c>
      <c r="K426" s="23">
        <v>0.3</v>
      </c>
      <c r="L426" s="23">
        <v>3.75</v>
      </c>
      <c r="M426" s="23">
        <v>15</v>
      </c>
      <c r="N426" s="24" t="e">
        <f>MAX(0,F426-H426-#REF!)*J426/1000000 + H426*K426/1000000 +#REF!* L426/1000000</f>
        <v>#REF!</v>
      </c>
      <c r="O426" s="24">
        <f t="shared" si="15"/>
        <v>4.95E-4</v>
      </c>
      <c r="P426" s="24" t="e">
        <f t="shared" si="16"/>
        <v>#REF!</v>
      </c>
      <c r="Q426" s="22" t="s">
        <v>115</v>
      </c>
      <c r="R426" s="22" t="s">
        <v>108</v>
      </c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</row>
    <row r="427" spans="1:45" ht="44" customHeight="1">
      <c r="A427" s="25" t="s">
        <v>29</v>
      </c>
      <c r="B427" s="26" t="s">
        <v>113</v>
      </c>
      <c r="C427" s="25" t="s">
        <v>114</v>
      </c>
      <c r="D427" s="25" t="s">
        <v>111</v>
      </c>
      <c r="E427" s="26" t="s">
        <v>106</v>
      </c>
      <c r="F427" s="26">
        <v>2075</v>
      </c>
      <c r="G427" s="26">
        <v>33</v>
      </c>
      <c r="H427" s="26">
        <v>0</v>
      </c>
      <c r="I427" s="26">
        <v>2108</v>
      </c>
      <c r="J427" s="26">
        <v>3</v>
      </c>
      <c r="K427" s="26">
        <v>0.3</v>
      </c>
      <c r="L427" s="26">
        <v>3.75</v>
      </c>
      <c r="M427" s="26">
        <v>15</v>
      </c>
      <c r="N427" s="27" t="e">
        <f>MAX(0,F427-H427-#REF!)*J427/1000000 + H427*K427/1000000 +#REF!* L427/1000000</f>
        <v>#REF!</v>
      </c>
      <c r="O427" s="27">
        <f t="shared" si="15"/>
        <v>4.95E-4</v>
      </c>
      <c r="P427" s="27" t="e">
        <f t="shared" si="16"/>
        <v>#REF!</v>
      </c>
      <c r="Q427" s="25" t="s">
        <v>115</v>
      </c>
      <c r="R427" s="25" t="s">
        <v>108</v>
      </c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</row>
    <row r="428" spans="1:45" ht="44" customHeight="1">
      <c r="A428" s="22" t="s">
        <v>29</v>
      </c>
      <c r="B428" s="23" t="s">
        <v>113</v>
      </c>
      <c r="C428" s="22" t="s">
        <v>114</v>
      </c>
      <c r="D428" s="22" t="s">
        <v>111</v>
      </c>
      <c r="E428" s="23" t="s">
        <v>106</v>
      </c>
      <c r="F428" s="23">
        <v>2149</v>
      </c>
      <c r="G428" s="23">
        <v>33</v>
      </c>
      <c r="H428" s="23">
        <v>0</v>
      </c>
      <c r="I428" s="23">
        <v>2182</v>
      </c>
      <c r="J428" s="23">
        <v>3</v>
      </c>
      <c r="K428" s="23">
        <v>0.3</v>
      </c>
      <c r="L428" s="23">
        <v>3.75</v>
      </c>
      <c r="M428" s="23">
        <v>15</v>
      </c>
      <c r="N428" s="24" t="e">
        <f>MAX(0,F428-H428-#REF!)*J428/1000000 + H428*K428/1000000 +#REF!* L428/1000000</f>
        <v>#REF!</v>
      </c>
      <c r="O428" s="24">
        <f t="shared" si="15"/>
        <v>4.95E-4</v>
      </c>
      <c r="P428" s="24" t="e">
        <f t="shared" si="16"/>
        <v>#REF!</v>
      </c>
      <c r="Q428" s="22" t="s">
        <v>115</v>
      </c>
      <c r="R428" s="22" t="s">
        <v>108</v>
      </c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</row>
    <row r="429" spans="1:45" ht="44" customHeight="1">
      <c r="A429" s="25" t="s">
        <v>29</v>
      </c>
      <c r="B429" s="26" t="s">
        <v>113</v>
      </c>
      <c r="C429" s="25" t="s">
        <v>114</v>
      </c>
      <c r="D429" s="25" t="s">
        <v>111</v>
      </c>
      <c r="E429" s="26" t="s">
        <v>106</v>
      </c>
      <c r="F429" s="26">
        <v>3352</v>
      </c>
      <c r="G429" s="26">
        <v>33</v>
      </c>
      <c r="H429" s="26">
        <v>0</v>
      </c>
      <c r="I429" s="26">
        <v>3385</v>
      </c>
      <c r="J429" s="26">
        <v>3</v>
      </c>
      <c r="K429" s="26">
        <v>0.3</v>
      </c>
      <c r="L429" s="26">
        <v>3.75</v>
      </c>
      <c r="M429" s="26">
        <v>15</v>
      </c>
      <c r="N429" s="27" t="e">
        <f>MAX(0,F429-H429-#REF!)*J429/1000000 + H429*K429/1000000 +#REF!* L429/1000000</f>
        <v>#REF!</v>
      </c>
      <c r="O429" s="27">
        <f t="shared" si="15"/>
        <v>4.95E-4</v>
      </c>
      <c r="P429" s="27" t="e">
        <f t="shared" si="16"/>
        <v>#REF!</v>
      </c>
      <c r="Q429" s="25" t="s">
        <v>115</v>
      </c>
      <c r="R429" s="25" t="s">
        <v>108</v>
      </c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</row>
    <row r="430" spans="1:45" ht="44" customHeight="1">
      <c r="A430" s="22" t="s">
        <v>29</v>
      </c>
      <c r="B430" s="23" t="s">
        <v>113</v>
      </c>
      <c r="C430" s="22" t="s">
        <v>114</v>
      </c>
      <c r="D430" s="22" t="s">
        <v>111</v>
      </c>
      <c r="E430" s="23" t="s">
        <v>106</v>
      </c>
      <c r="F430" s="23">
        <v>3227</v>
      </c>
      <c r="G430" s="23">
        <v>33</v>
      </c>
      <c r="H430" s="23">
        <v>0</v>
      </c>
      <c r="I430" s="23">
        <v>3260</v>
      </c>
      <c r="J430" s="23">
        <v>3</v>
      </c>
      <c r="K430" s="23">
        <v>0.3</v>
      </c>
      <c r="L430" s="23">
        <v>3.75</v>
      </c>
      <c r="M430" s="23">
        <v>15</v>
      </c>
      <c r="N430" s="24" t="e">
        <f>MAX(0,F430-H430-#REF!)*J430/1000000 + H430*K430/1000000 +#REF!* L430/1000000</f>
        <v>#REF!</v>
      </c>
      <c r="O430" s="24">
        <f t="shared" si="15"/>
        <v>4.95E-4</v>
      </c>
      <c r="P430" s="24" t="e">
        <f t="shared" si="16"/>
        <v>#REF!</v>
      </c>
      <c r="Q430" s="22" t="s">
        <v>115</v>
      </c>
      <c r="R430" s="22" t="s">
        <v>108</v>
      </c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</row>
    <row r="431" spans="1:45" ht="44" customHeight="1">
      <c r="A431" s="25" t="s">
        <v>29</v>
      </c>
      <c r="B431" s="26" t="s">
        <v>113</v>
      </c>
      <c r="C431" s="25" t="s">
        <v>114</v>
      </c>
      <c r="D431" s="25" t="s">
        <v>111</v>
      </c>
      <c r="E431" s="26" t="s">
        <v>106</v>
      </c>
      <c r="F431" s="26">
        <v>3129</v>
      </c>
      <c r="G431" s="26">
        <v>33</v>
      </c>
      <c r="H431" s="26">
        <v>0</v>
      </c>
      <c r="I431" s="26">
        <v>3162</v>
      </c>
      <c r="J431" s="26">
        <v>3</v>
      </c>
      <c r="K431" s="26">
        <v>0.3</v>
      </c>
      <c r="L431" s="26">
        <v>3.75</v>
      </c>
      <c r="M431" s="26">
        <v>15</v>
      </c>
      <c r="N431" s="27" t="e">
        <f>MAX(0,F431-H431-#REF!)*J431/1000000 + H431*K431/1000000 +#REF!* L431/1000000</f>
        <v>#REF!</v>
      </c>
      <c r="O431" s="27">
        <f t="shared" si="15"/>
        <v>4.95E-4</v>
      </c>
      <c r="P431" s="27" t="e">
        <f t="shared" si="16"/>
        <v>#REF!</v>
      </c>
      <c r="Q431" s="25" t="s">
        <v>115</v>
      </c>
      <c r="R431" s="25" t="s">
        <v>108</v>
      </c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</row>
    <row r="432" spans="1:45" ht="44" customHeight="1">
      <c r="A432" s="22" t="s">
        <v>29</v>
      </c>
      <c r="B432" s="23" t="s">
        <v>113</v>
      </c>
      <c r="C432" s="22" t="s">
        <v>114</v>
      </c>
      <c r="D432" s="22" t="s">
        <v>111</v>
      </c>
      <c r="E432" s="23" t="s">
        <v>106</v>
      </c>
      <c r="F432" s="23">
        <v>2999</v>
      </c>
      <c r="G432" s="23">
        <v>33</v>
      </c>
      <c r="H432" s="23">
        <v>0</v>
      </c>
      <c r="I432" s="23">
        <v>3032</v>
      </c>
      <c r="J432" s="23">
        <v>3</v>
      </c>
      <c r="K432" s="23">
        <v>0.3</v>
      </c>
      <c r="L432" s="23">
        <v>3.75</v>
      </c>
      <c r="M432" s="23">
        <v>15</v>
      </c>
      <c r="N432" s="24" t="e">
        <f>MAX(0,F432-H432-#REF!)*J432/1000000 + H432*K432/1000000 +#REF!* L432/1000000</f>
        <v>#REF!</v>
      </c>
      <c r="O432" s="24">
        <f t="shared" si="15"/>
        <v>4.95E-4</v>
      </c>
      <c r="P432" s="24" t="e">
        <f t="shared" si="16"/>
        <v>#REF!</v>
      </c>
      <c r="Q432" s="22" t="s">
        <v>115</v>
      </c>
      <c r="R432" s="22" t="s">
        <v>108</v>
      </c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</row>
    <row r="433" spans="1:45" ht="44" customHeight="1">
      <c r="A433" s="25" t="s">
        <v>29</v>
      </c>
      <c r="B433" s="26" t="s">
        <v>113</v>
      </c>
      <c r="C433" s="25" t="s">
        <v>114</v>
      </c>
      <c r="D433" s="25" t="s">
        <v>112</v>
      </c>
      <c r="E433" s="26" t="s">
        <v>106</v>
      </c>
      <c r="F433" s="26">
        <v>2909</v>
      </c>
      <c r="G433" s="26">
        <v>370</v>
      </c>
      <c r="H433" s="26">
        <v>0</v>
      </c>
      <c r="I433" s="26">
        <v>3279</v>
      </c>
      <c r="J433" s="26">
        <v>3</v>
      </c>
      <c r="K433" s="26">
        <v>0.3</v>
      </c>
      <c r="L433" s="26">
        <v>3.75</v>
      </c>
      <c r="M433" s="26">
        <v>15</v>
      </c>
      <c r="N433" s="27" t="e">
        <f>MAX(0,F433-H433-#REF!)*J433/1000000 + H433*K433/1000000 +#REF!* L433/1000000</f>
        <v>#REF!</v>
      </c>
      <c r="O433" s="27">
        <f t="shared" si="15"/>
        <v>5.5500000000000002E-3</v>
      </c>
      <c r="P433" s="27" t="e">
        <f t="shared" si="16"/>
        <v>#REF!</v>
      </c>
      <c r="Q433" s="25" t="s">
        <v>115</v>
      </c>
      <c r="R433" s="25" t="s">
        <v>108</v>
      </c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</row>
    <row r="434" spans="1:45" ht="44" customHeight="1">
      <c r="A434" s="22" t="s">
        <v>29</v>
      </c>
      <c r="B434" s="23" t="s">
        <v>113</v>
      </c>
      <c r="C434" s="22" t="s">
        <v>114</v>
      </c>
      <c r="D434" s="22" t="s">
        <v>112</v>
      </c>
      <c r="E434" s="23" t="s">
        <v>106</v>
      </c>
      <c r="F434" s="23">
        <v>2071</v>
      </c>
      <c r="G434" s="23">
        <v>403</v>
      </c>
      <c r="H434" s="23">
        <v>0</v>
      </c>
      <c r="I434" s="23">
        <v>2474</v>
      </c>
      <c r="J434" s="23">
        <v>3</v>
      </c>
      <c r="K434" s="23">
        <v>0.3</v>
      </c>
      <c r="L434" s="23">
        <v>3.75</v>
      </c>
      <c r="M434" s="23">
        <v>15</v>
      </c>
      <c r="N434" s="24" t="e">
        <f>MAX(0,F434-H434-#REF!)*J434/1000000 + H434*K434/1000000 +#REF!* L434/1000000</f>
        <v>#REF!</v>
      </c>
      <c r="O434" s="24">
        <f t="shared" si="15"/>
        <v>6.045E-3</v>
      </c>
      <c r="P434" s="24" t="e">
        <f t="shared" si="16"/>
        <v>#REF!</v>
      </c>
      <c r="Q434" s="22" t="s">
        <v>115</v>
      </c>
      <c r="R434" s="22" t="s">
        <v>108</v>
      </c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</row>
    <row r="435" spans="1:45" ht="44" customHeight="1">
      <c r="A435" s="25" t="s">
        <v>29</v>
      </c>
      <c r="B435" s="26" t="s">
        <v>113</v>
      </c>
      <c r="C435" s="25" t="s">
        <v>114</v>
      </c>
      <c r="D435" s="25" t="s">
        <v>112</v>
      </c>
      <c r="E435" s="26" t="s">
        <v>106</v>
      </c>
      <c r="F435" s="26">
        <v>3062</v>
      </c>
      <c r="G435" s="26">
        <v>393</v>
      </c>
      <c r="H435" s="26">
        <v>0</v>
      </c>
      <c r="I435" s="26">
        <v>3455</v>
      </c>
      <c r="J435" s="26">
        <v>3</v>
      </c>
      <c r="K435" s="26">
        <v>0.3</v>
      </c>
      <c r="L435" s="26">
        <v>3.75</v>
      </c>
      <c r="M435" s="26">
        <v>15</v>
      </c>
      <c r="N435" s="27" t="e">
        <f>MAX(0,F435-H435-#REF!)*J435/1000000 + H435*K435/1000000 +#REF!* L435/1000000</f>
        <v>#REF!</v>
      </c>
      <c r="O435" s="27">
        <f t="shared" si="15"/>
        <v>5.8950000000000001E-3</v>
      </c>
      <c r="P435" s="27" t="e">
        <f t="shared" si="16"/>
        <v>#REF!</v>
      </c>
      <c r="Q435" s="25" t="s">
        <v>115</v>
      </c>
      <c r="R435" s="25" t="s">
        <v>108</v>
      </c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</row>
    <row r="436" spans="1:45" ht="44" customHeight="1">
      <c r="A436" s="22" t="s">
        <v>29</v>
      </c>
      <c r="B436" s="23" t="s">
        <v>113</v>
      </c>
      <c r="C436" s="22" t="s">
        <v>114</v>
      </c>
      <c r="D436" s="22" t="s">
        <v>112</v>
      </c>
      <c r="E436" s="23" t="s">
        <v>106</v>
      </c>
      <c r="F436" s="23">
        <v>2193</v>
      </c>
      <c r="G436" s="23">
        <v>590</v>
      </c>
      <c r="H436" s="23">
        <v>0</v>
      </c>
      <c r="I436" s="23">
        <v>2783</v>
      </c>
      <c r="J436" s="23">
        <v>3</v>
      </c>
      <c r="K436" s="23">
        <v>0.3</v>
      </c>
      <c r="L436" s="23">
        <v>3.75</v>
      </c>
      <c r="M436" s="23">
        <v>15</v>
      </c>
      <c r="N436" s="24" t="e">
        <f>MAX(0,F436-H436-#REF!)*J436/1000000 + H436*K436/1000000 +#REF!* L436/1000000</f>
        <v>#REF!</v>
      </c>
      <c r="O436" s="24">
        <f t="shared" si="15"/>
        <v>8.8500000000000002E-3</v>
      </c>
      <c r="P436" s="24" t="e">
        <f t="shared" si="16"/>
        <v>#REF!</v>
      </c>
      <c r="Q436" s="22" t="s">
        <v>115</v>
      </c>
      <c r="R436" s="22" t="s">
        <v>108</v>
      </c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</row>
    <row r="437" spans="1:45" ht="44" customHeight="1">
      <c r="A437" s="25" t="s">
        <v>29</v>
      </c>
      <c r="B437" s="26" t="s">
        <v>113</v>
      </c>
      <c r="C437" s="25" t="s">
        <v>114</v>
      </c>
      <c r="D437" s="25" t="s">
        <v>112</v>
      </c>
      <c r="E437" s="26" t="s">
        <v>106</v>
      </c>
      <c r="F437" s="26">
        <v>2815</v>
      </c>
      <c r="G437" s="26">
        <v>612</v>
      </c>
      <c r="H437" s="26">
        <v>0</v>
      </c>
      <c r="I437" s="26">
        <v>3427</v>
      </c>
      <c r="J437" s="26">
        <v>3</v>
      </c>
      <c r="K437" s="26">
        <v>0.3</v>
      </c>
      <c r="L437" s="26">
        <v>3.75</v>
      </c>
      <c r="M437" s="26">
        <v>15</v>
      </c>
      <c r="N437" s="27" t="e">
        <f>MAX(0,F437-H437-#REF!)*J437/1000000 + H437*K437/1000000 +#REF!* L437/1000000</f>
        <v>#REF!</v>
      </c>
      <c r="O437" s="27">
        <f t="shared" si="15"/>
        <v>9.1800000000000007E-3</v>
      </c>
      <c r="P437" s="27" t="e">
        <f t="shared" si="16"/>
        <v>#REF!</v>
      </c>
      <c r="Q437" s="25" t="s">
        <v>115</v>
      </c>
      <c r="R437" s="25" t="s">
        <v>108</v>
      </c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</row>
    <row r="438" spans="1:45" ht="44" customHeight="1">
      <c r="A438" s="22" t="s">
        <v>29</v>
      </c>
      <c r="B438" s="23" t="s">
        <v>113</v>
      </c>
      <c r="C438" s="22" t="s">
        <v>114</v>
      </c>
      <c r="D438" s="22" t="s">
        <v>112</v>
      </c>
      <c r="E438" s="23" t="s">
        <v>106</v>
      </c>
      <c r="F438" s="23">
        <v>4425</v>
      </c>
      <c r="G438" s="23">
        <v>956</v>
      </c>
      <c r="H438" s="23">
        <v>0</v>
      </c>
      <c r="I438" s="23">
        <v>5381</v>
      </c>
      <c r="J438" s="23">
        <v>3</v>
      </c>
      <c r="K438" s="23">
        <v>0.3</v>
      </c>
      <c r="L438" s="23">
        <v>3.75</v>
      </c>
      <c r="M438" s="23">
        <v>15</v>
      </c>
      <c r="N438" s="24" t="e">
        <f>MAX(0,F438-H438-#REF!)*J438/1000000 + H438*K438/1000000 +#REF!* L438/1000000</f>
        <v>#REF!</v>
      </c>
      <c r="O438" s="24">
        <f t="shared" si="15"/>
        <v>1.434E-2</v>
      </c>
      <c r="P438" s="24" t="e">
        <f t="shared" si="16"/>
        <v>#REF!</v>
      </c>
      <c r="Q438" s="22" t="s">
        <v>115</v>
      </c>
      <c r="R438" s="22" t="s">
        <v>108</v>
      </c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</row>
    <row r="439" spans="1:4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</row>
    <row r="440" spans="1:4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</row>
    <row r="441" spans="1:45" ht="15.5">
      <c r="A441" s="20" t="s">
        <v>126</v>
      </c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</row>
    <row r="442" spans="1:45" ht="36" hidden="1" customHeight="1">
      <c r="A442" s="13" t="s">
        <v>0</v>
      </c>
      <c r="B442" s="13" t="s">
        <v>86</v>
      </c>
      <c r="C442" s="13" t="s">
        <v>85</v>
      </c>
      <c r="D442" s="13" t="s">
        <v>89</v>
      </c>
      <c r="E442" s="13" t="s">
        <v>91</v>
      </c>
      <c r="F442" s="13" t="s">
        <v>92</v>
      </c>
      <c r="G442" s="13" t="s">
        <v>93</v>
      </c>
      <c r="H442" s="13" t="s">
        <v>127</v>
      </c>
      <c r="I442" s="13" t="s">
        <v>128</v>
      </c>
      <c r="J442" s="13" t="s">
        <v>102</v>
      </c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</row>
    <row r="443" spans="1:45" ht="36" hidden="1" customHeight="1">
      <c r="A443" s="25" t="s">
        <v>10</v>
      </c>
      <c r="B443" s="25" t="s">
        <v>104</v>
      </c>
      <c r="C443" s="25" t="s">
        <v>103</v>
      </c>
      <c r="D443" s="26">
        <f t="shared" ref="D443:D453" si="17">SUMIFS(F$2:F$438,A$2:A$438,$A443,C$2:C$438,$B443)</f>
        <v>70701</v>
      </c>
      <c r="E443" s="26">
        <f t="shared" ref="E443:E453" si="18">SUMIFS(H$2:H$438,A$2:A$438,$A443,C$2:C$438,$B443)</f>
        <v>0</v>
      </c>
      <c r="F443" s="26" t="e">
        <f>SUMIFS(#REF!,A$2:A$438,$A443,C$2:C$438,$B443)</f>
        <v>#REF!</v>
      </c>
      <c r="G443" s="26">
        <f t="shared" ref="G443:G453" si="19">SUMIFS(I$2:I$438,A$2:A$438,$A443,C$2:C$438,$B443)</f>
        <v>73715</v>
      </c>
      <c r="H443" s="27" t="e">
        <f t="shared" ref="H443:H453" si="20">SUMIFS(N$2:N$438,A$2:A$438,$A443,C$2:C$438,$B443)</f>
        <v>#REF!</v>
      </c>
      <c r="I443" s="27" t="e">
        <f>D443+#REF!</f>
        <v>#REF!</v>
      </c>
      <c r="J443" s="25" t="s">
        <v>129</v>
      </c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</row>
    <row r="444" spans="1:45" ht="36" hidden="1" customHeight="1">
      <c r="A444" s="22" t="s">
        <v>14</v>
      </c>
      <c r="B444" s="22" t="s">
        <v>104</v>
      </c>
      <c r="C444" s="22" t="s">
        <v>103</v>
      </c>
      <c r="D444" s="23">
        <f t="shared" si="17"/>
        <v>82690</v>
      </c>
      <c r="E444" s="23">
        <f t="shared" si="18"/>
        <v>0</v>
      </c>
      <c r="F444" s="23" t="e">
        <f>SUMIFS(#REF!,A$2:A$438,$A444,C$2:C$438,$B444)</f>
        <v>#REF!</v>
      </c>
      <c r="G444" s="23">
        <f t="shared" si="19"/>
        <v>85742</v>
      </c>
      <c r="H444" s="24" t="e">
        <f t="shared" si="20"/>
        <v>#REF!</v>
      </c>
      <c r="I444" s="24" t="e">
        <f>D444+#REF!</f>
        <v>#REF!</v>
      </c>
      <c r="J444" s="22" t="s">
        <v>129</v>
      </c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</row>
    <row r="445" spans="1:45" ht="36" hidden="1" customHeight="1">
      <c r="A445" s="25" t="s">
        <v>18</v>
      </c>
      <c r="B445" s="25" t="s">
        <v>114</v>
      </c>
      <c r="C445" s="25" t="s">
        <v>113</v>
      </c>
      <c r="D445" s="26">
        <f t="shared" si="17"/>
        <v>170698</v>
      </c>
      <c r="E445" s="26">
        <f t="shared" si="18"/>
        <v>0</v>
      </c>
      <c r="F445" s="26" t="e">
        <f>SUMIFS(#REF!,A$2:A$438,$A445,C$2:C$438,$B445)</f>
        <v>#REF!</v>
      </c>
      <c r="G445" s="26">
        <f t="shared" si="19"/>
        <v>178505</v>
      </c>
      <c r="H445" s="27" t="e">
        <f t="shared" si="20"/>
        <v>#REF!</v>
      </c>
      <c r="I445" s="27" t="e">
        <f>D445+#REF!</f>
        <v>#REF!</v>
      </c>
      <c r="J445" s="25" t="s">
        <v>129</v>
      </c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</row>
    <row r="446" spans="1:45" ht="36" hidden="1" customHeight="1">
      <c r="A446" s="22" t="s">
        <v>19</v>
      </c>
      <c r="B446" s="22" t="s">
        <v>116</v>
      </c>
      <c r="C446" s="22" t="s">
        <v>113</v>
      </c>
      <c r="D446" s="23">
        <f t="shared" si="17"/>
        <v>173393</v>
      </c>
      <c r="E446" s="23">
        <f t="shared" si="18"/>
        <v>0</v>
      </c>
      <c r="F446" s="23" t="e">
        <f>SUMIFS(#REF!,A$2:A$438,$A446,C$2:C$438,$B446)</f>
        <v>#REF!</v>
      </c>
      <c r="G446" s="23">
        <f t="shared" si="19"/>
        <v>183455</v>
      </c>
      <c r="H446" s="24" t="e">
        <f t="shared" si="20"/>
        <v>#REF!</v>
      </c>
      <c r="I446" s="24" t="e">
        <f>D446+#REF!</f>
        <v>#REF!</v>
      </c>
      <c r="J446" s="22" t="s">
        <v>129</v>
      </c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</row>
    <row r="447" spans="1:45" ht="36" hidden="1" customHeight="1">
      <c r="A447" s="25" t="s">
        <v>22</v>
      </c>
      <c r="B447" s="25" t="s">
        <v>118</v>
      </c>
      <c r="C447" s="25" t="s">
        <v>117</v>
      </c>
      <c r="D447" s="26">
        <f t="shared" si="17"/>
        <v>118642</v>
      </c>
      <c r="E447" s="26">
        <f t="shared" si="18"/>
        <v>0</v>
      </c>
      <c r="F447" s="26" t="e">
        <f>SUMIFS(#REF!,A$2:A$438,$A447,C$2:C$438,$B447)</f>
        <v>#REF!</v>
      </c>
      <c r="G447" s="26">
        <f t="shared" si="19"/>
        <v>182618</v>
      </c>
      <c r="H447" s="27">
        <f t="shared" si="20"/>
        <v>0</v>
      </c>
      <c r="I447" s="27" t="e">
        <f>D447+#REF!</f>
        <v>#REF!</v>
      </c>
      <c r="J447" s="25" t="s">
        <v>130</v>
      </c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</row>
    <row r="448" spans="1:45" ht="36" hidden="1" customHeight="1">
      <c r="A448" s="22" t="s">
        <v>23</v>
      </c>
      <c r="B448" s="22" t="s">
        <v>118</v>
      </c>
      <c r="C448" s="22" t="s">
        <v>117</v>
      </c>
      <c r="D448" s="23">
        <f t="shared" si="17"/>
        <v>122948</v>
      </c>
      <c r="E448" s="23">
        <f t="shared" si="18"/>
        <v>0</v>
      </c>
      <c r="F448" s="23" t="e">
        <f>SUMIFS(#REF!,A$2:A$438,$A448,C$2:C$438,$B448)</f>
        <v>#REF!</v>
      </c>
      <c r="G448" s="23">
        <f t="shared" si="19"/>
        <v>193166</v>
      </c>
      <c r="H448" s="24">
        <f t="shared" si="20"/>
        <v>0</v>
      </c>
      <c r="I448" s="24" t="e">
        <f>D448+#REF!</f>
        <v>#REF!</v>
      </c>
      <c r="J448" s="22" t="s">
        <v>130</v>
      </c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</row>
    <row r="449" spans="1:45" ht="36" hidden="1" customHeight="1">
      <c r="A449" s="25" t="s">
        <v>24</v>
      </c>
      <c r="B449" s="25" t="s">
        <v>121</v>
      </c>
      <c r="C449" s="25" t="s">
        <v>103</v>
      </c>
      <c r="D449" s="26">
        <f t="shared" si="17"/>
        <v>134617</v>
      </c>
      <c r="E449" s="26">
        <f t="shared" si="18"/>
        <v>0</v>
      </c>
      <c r="F449" s="26" t="e">
        <f>SUMIFS(#REF!,A$2:A$438,$A449,C$2:C$438,$B449)</f>
        <v>#REF!</v>
      </c>
      <c r="G449" s="26">
        <f t="shared" si="19"/>
        <v>142474</v>
      </c>
      <c r="H449" s="27" t="e">
        <f t="shared" si="20"/>
        <v>#REF!</v>
      </c>
      <c r="I449" s="27" t="e">
        <f>D449+#REF!</f>
        <v>#REF!</v>
      </c>
      <c r="J449" s="25" t="s">
        <v>129</v>
      </c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</row>
    <row r="450" spans="1:45" ht="36" hidden="1" customHeight="1">
      <c r="A450" s="22" t="s">
        <v>25</v>
      </c>
      <c r="B450" s="22" t="s">
        <v>123</v>
      </c>
      <c r="C450" s="22" t="s">
        <v>103</v>
      </c>
      <c r="D450" s="23">
        <f t="shared" si="17"/>
        <v>135061</v>
      </c>
      <c r="E450" s="23">
        <f t="shared" si="18"/>
        <v>0</v>
      </c>
      <c r="F450" s="23" t="e">
        <f>SUMIFS(#REF!,A$2:A$438,$A450,C$2:C$438,$B450)</f>
        <v>#REF!</v>
      </c>
      <c r="G450" s="23">
        <f t="shared" si="19"/>
        <v>145202</v>
      </c>
      <c r="H450" s="24" t="e">
        <f t="shared" si="20"/>
        <v>#REF!</v>
      </c>
      <c r="I450" s="24" t="e">
        <f>D450+#REF!</f>
        <v>#REF!</v>
      </c>
      <c r="J450" s="22" t="s">
        <v>129</v>
      </c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</row>
    <row r="451" spans="1:45" ht="36" hidden="1" customHeight="1">
      <c r="A451" s="25" t="s">
        <v>26</v>
      </c>
      <c r="B451" s="25" t="s">
        <v>124</v>
      </c>
      <c r="C451" s="25" t="s">
        <v>103</v>
      </c>
      <c r="D451" s="26">
        <f t="shared" si="17"/>
        <v>119148</v>
      </c>
      <c r="E451" s="26">
        <f t="shared" si="18"/>
        <v>76800</v>
      </c>
      <c r="F451" s="26" t="e">
        <f>SUMIFS(#REF!,A$2:A$438,$A451,C$2:C$438,$B451)</f>
        <v>#REF!</v>
      </c>
      <c r="G451" s="26">
        <f t="shared" si="19"/>
        <v>121620</v>
      </c>
      <c r="H451" s="27" t="e">
        <f t="shared" si="20"/>
        <v>#REF!</v>
      </c>
      <c r="I451" s="27" t="e">
        <f>D451+#REF!</f>
        <v>#REF!</v>
      </c>
      <c r="J451" s="25" t="s">
        <v>129</v>
      </c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</row>
    <row r="452" spans="1:45" ht="36" hidden="1" customHeight="1">
      <c r="A452" s="22" t="s">
        <v>27</v>
      </c>
      <c r="B452" s="22" t="s">
        <v>125</v>
      </c>
      <c r="C452" s="22" t="s">
        <v>113</v>
      </c>
      <c r="D452" s="23">
        <f t="shared" si="17"/>
        <v>185773</v>
      </c>
      <c r="E452" s="23">
        <f t="shared" si="18"/>
        <v>0</v>
      </c>
      <c r="F452" s="23" t="e">
        <f>SUMIFS(#REF!,A$2:A$438,$A452,C$2:C$438,$B452)</f>
        <v>#REF!</v>
      </c>
      <c r="G452" s="23">
        <f t="shared" si="19"/>
        <v>196588</v>
      </c>
      <c r="H452" s="24" t="e">
        <f t="shared" si="20"/>
        <v>#REF!</v>
      </c>
      <c r="I452" s="24" t="e">
        <f>D452+#REF!</f>
        <v>#REF!</v>
      </c>
      <c r="J452" s="22" t="s">
        <v>129</v>
      </c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</row>
    <row r="453" spans="1:45" ht="36" hidden="1" customHeight="1">
      <c r="A453" s="25" t="s">
        <v>29</v>
      </c>
      <c r="B453" s="25" t="s">
        <v>114</v>
      </c>
      <c r="C453" s="25" t="s">
        <v>113</v>
      </c>
      <c r="D453" s="26">
        <f t="shared" si="17"/>
        <v>167739</v>
      </c>
      <c r="E453" s="26">
        <f t="shared" si="18"/>
        <v>0</v>
      </c>
      <c r="F453" s="26" t="e">
        <f>SUMIFS(#REF!,A$2:A$438,$A453,C$2:C$438,$B453)</f>
        <v>#REF!</v>
      </c>
      <c r="G453" s="26">
        <f t="shared" si="19"/>
        <v>174729</v>
      </c>
      <c r="H453" s="27" t="e">
        <f t="shared" si="20"/>
        <v>#REF!</v>
      </c>
      <c r="I453" s="27" t="e">
        <f>D453+#REF!</f>
        <v>#REF!</v>
      </c>
      <c r="J453" s="25" t="s">
        <v>129</v>
      </c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</row>
    <row r="454" spans="1:45" ht="36" hidden="1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</row>
    <row r="455" spans="1:45" ht="36" hidden="1" customHeight="1">
      <c r="A455" s="28" t="s">
        <v>131</v>
      </c>
      <c r="B455" s="29"/>
      <c r="C455" s="29"/>
      <c r="D455" s="28">
        <f t="shared" ref="D455:I455" si="21">SUM(D443:D454)</f>
        <v>1481410</v>
      </c>
      <c r="E455" s="28">
        <f t="shared" si="21"/>
        <v>76800</v>
      </c>
      <c r="F455" s="28" t="e">
        <f t="shared" si="21"/>
        <v>#REF!</v>
      </c>
      <c r="G455" s="28">
        <f t="shared" si="21"/>
        <v>1677814</v>
      </c>
      <c r="H455" s="30" t="e">
        <f t="shared" si="21"/>
        <v>#REF!</v>
      </c>
      <c r="I455" s="30" t="e">
        <f t="shared" si="21"/>
        <v>#REF!</v>
      </c>
      <c r="J455" s="29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</row>
    <row r="456" spans="1:4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</row>
    <row r="457" spans="1:4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</row>
    <row r="458" spans="1:4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</row>
    <row r="459" spans="1:4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</row>
    <row r="460" spans="1:4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</row>
    <row r="461" spans="1:4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</row>
    <row r="462" spans="1:4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</row>
    <row r="463" spans="1:4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</row>
    <row r="464" spans="1:4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</row>
    <row r="465" spans="1:4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</row>
    <row r="466" spans="1:4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</row>
    <row r="467" spans="1:4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</row>
    <row r="468" spans="1:4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</row>
    <row r="469" spans="1:4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</row>
    <row r="470" spans="1:4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</row>
    <row r="471" spans="1:4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</row>
    <row r="472" spans="1:4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</row>
    <row r="473" spans="1:4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</row>
    <row r="474" spans="1:4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</row>
    <row r="475" spans="1:4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</row>
    <row r="476" spans="1:4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</row>
    <row r="477" spans="1:4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</row>
    <row r="478" spans="1:4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</row>
    <row r="479" spans="1:4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</row>
    <row r="480" spans="1:4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</row>
    <row r="481" spans="1:4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</row>
    <row r="482" spans="1:4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</row>
    <row r="483" spans="1:4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</row>
    <row r="484" spans="1:4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</row>
    <row r="485" spans="1:4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</row>
    <row r="486" spans="1:4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</row>
    <row r="487" spans="1:4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</row>
    <row r="488" spans="1:4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</row>
    <row r="489" spans="1:4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</row>
    <row r="490" spans="1:4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</row>
    <row r="491" spans="1:4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</row>
    <row r="492" spans="1:4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</row>
    <row r="493" spans="1:4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</row>
    <row r="494" spans="1:4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</row>
    <row r="495" spans="1:4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</row>
    <row r="496" spans="1:4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</row>
    <row r="497" spans="1:4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</row>
    <row r="498" spans="1:4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</row>
    <row r="499" spans="1:4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</row>
    <row r="500" spans="1:4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</row>
    <row r="501" spans="1:4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</row>
    <row r="502" spans="1:4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</row>
    <row r="503" spans="1:4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</row>
    <row r="504" spans="1:4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</row>
    <row r="505" spans="1:4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</row>
    <row r="506" spans="1:4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</row>
    <row r="507" spans="1:4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</row>
    <row r="508" spans="1:4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</row>
    <row r="509" spans="1:4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</row>
    <row r="510" spans="1:4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</row>
    <row r="511" spans="1:4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</row>
    <row r="512" spans="1:4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</row>
    <row r="513" spans="1:4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</row>
    <row r="514" spans="1:4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</row>
    <row r="515" spans="1:4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</row>
    <row r="516" spans="1:4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</row>
    <row r="517" spans="1:4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</row>
    <row r="518" spans="1:4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</row>
    <row r="519" spans="1:4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</row>
    <row r="520" spans="1:4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</row>
    <row r="521" spans="1:4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</row>
    <row r="522" spans="1:4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</row>
    <row r="523" spans="1:4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</row>
    <row r="524" spans="1:4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</row>
    <row r="525" spans="1:4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</row>
    <row r="526" spans="1:4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</row>
    <row r="527" spans="1:4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</row>
    <row r="528" spans="1:4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</row>
    <row r="529" spans="1:4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</row>
    <row r="530" spans="1:4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</row>
    <row r="531" spans="1:4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</row>
    <row r="532" spans="1:4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</row>
    <row r="533" spans="1:4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</row>
    <row r="534" spans="1:4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</row>
    <row r="535" spans="1:4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</row>
    <row r="536" spans="1:4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</row>
    <row r="537" spans="1:4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</row>
    <row r="538" spans="1:4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</row>
    <row r="539" spans="1:4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</row>
    <row r="540" spans="1:4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</row>
    <row r="541" spans="1:4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</row>
    <row r="542" spans="1:4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</row>
    <row r="543" spans="1:4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</row>
    <row r="544" spans="1:4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</row>
    <row r="545" spans="1: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</row>
    <row r="546" spans="1:4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</row>
    <row r="547" spans="1:4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</row>
    <row r="548" spans="1:4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</row>
    <row r="549" spans="1:4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</row>
    <row r="550" spans="1:4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</row>
    <row r="551" spans="1:4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</row>
    <row r="552" spans="1:4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</row>
    <row r="553" spans="1:4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</row>
    <row r="554" spans="1:4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</row>
    <row r="555" spans="1:4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</row>
    <row r="556" spans="1:4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</row>
    <row r="557" spans="1:4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</row>
    <row r="558" spans="1:4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</row>
    <row r="559" spans="1:4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</row>
    <row r="560" spans="1:4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</row>
    <row r="561" spans="1:4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</row>
    <row r="562" spans="1:4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</row>
    <row r="563" spans="1:4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</row>
    <row r="564" spans="1:4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</row>
    <row r="565" spans="1:4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</row>
    <row r="566" spans="1:4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</row>
    <row r="567" spans="1:4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</row>
    <row r="568" spans="1:4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</row>
    <row r="569" spans="1:4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</row>
    <row r="570" spans="1:4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</row>
    <row r="571" spans="1:4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</row>
    <row r="572" spans="1:4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</row>
    <row r="573" spans="1:4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</row>
    <row r="574" spans="1:4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</row>
    <row r="575" spans="1:4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</row>
    <row r="576" spans="1:4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</row>
    <row r="577" spans="1:4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</row>
    <row r="578" spans="1:4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</row>
    <row r="579" spans="1:4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</row>
    <row r="580" spans="1:4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</row>
    <row r="581" spans="1:4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</row>
    <row r="582" spans="1:4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</row>
    <row r="583" spans="1:4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</row>
    <row r="584" spans="1:4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</row>
    <row r="585" spans="1:4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</row>
    <row r="586" spans="1:4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</row>
    <row r="587" spans="1:4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</row>
    <row r="588" spans="1:4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</row>
    <row r="589" spans="1:4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</row>
    <row r="590" spans="1:4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</row>
    <row r="591" spans="1:4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</row>
    <row r="592" spans="1:4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</row>
    <row r="593" spans="1:4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</row>
    <row r="594" spans="1:4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</row>
    <row r="595" spans="1:4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</row>
    <row r="596" spans="1:4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</row>
    <row r="597" spans="1:4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</row>
    <row r="598" spans="1:4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</row>
    <row r="599" spans="1:4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</row>
    <row r="600" spans="1:4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</row>
    <row r="601" spans="1:4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</row>
    <row r="602" spans="1:4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</row>
    <row r="603" spans="1:4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</row>
    <row r="604" spans="1:4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</row>
    <row r="605" spans="1:4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</row>
    <row r="606" spans="1:4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</row>
    <row r="607" spans="1:4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</row>
    <row r="608" spans="1:4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</row>
    <row r="609" spans="1:4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</row>
    <row r="610" spans="1:4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</row>
    <row r="611" spans="1:4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</row>
    <row r="612" spans="1:4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</row>
    <row r="613" spans="1:4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</row>
    <row r="614" spans="1:4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</row>
    <row r="615" spans="1:4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</row>
    <row r="616" spans="1:4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</row>
    <row r="617" spans="1:4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</row>
    <row r="618" spans="1:4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</row>
    <row r="619" spans="1:4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</row>
    <row r="620" spans="1:4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</row>
    <row r="621" spans="1:4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</row>
    <row r="622" spans="1:4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</row>
    <row r="623" spans="1:4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</row>
    <row r="624" spans="1:4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</row>
    <row r="625" spans="1:4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</row>
    <row r="626" spans="1:4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</row>
    <row r="627" spans="1:4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</row>
    <row r="628" spans="1:4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</row>
    <row r="629" spans="1:4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</row>
    <row r="630" spans="1:4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</row>
    <row r="631" spans="1:4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</row>
    <row r="632" spans="1:4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</row>
    <row r="633" spans="1:4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</row>
    <row r="634" spans="1:4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</row>
    <row r="635" spans="1:4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</row>
    <row r="636" spans="1:4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</row>
    <row r="637" spans="1:4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</row>
    <row r="638" spans="1:4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</row>
    <row r="639" spans="1:4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</row>
    <row r="640" spans="1:4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</row>
    <row r="641" spans="1:4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</row>
    <row r="642" spans="1:4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</row>
    <row r="643" spans="1:4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</row>
    <row r="644" spans="1:4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</row>
    <row r="645" spans="1: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</row>
    <row r="646" spans="1:4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</row>
    <row r="647" spans="1:4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</row>
    <row r="648" spans="1:4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</row>
    <row r="649" spans="1:4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</row>
    <row r="650" spans="1:4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</row>
    <row r="651" spans="1:4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</row>
    <row r="652" spans="1:4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</row>
    <row r="653" spans="1:4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</row>
    <row r="654" spans="1:4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</row>
    <row r="655" spans="1:4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</row>
    <row r="656" spans="1:4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</row>
    <row r="657" spans="1:4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</row>
    <row r="658" spans="1:4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</row>
    <row r="659" spans="1:4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</row>
    <row r="660" spans="1:4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</row>
    <row r="661" spans="1:4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</row>
    <row r="662" spans="1:4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</row>
    <row r="663" spans="1:4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</row>
    <row r="664" spans="1:4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</row>
    <row r="665" spans="1:4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</row>
    <row r="666" spans="1:4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</row>
    <row r="667" spans="1:4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</row>
    <row r="668" spans="1:4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</row>
    <row r="669" spans="1:4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</row>
    <row r="670" spans="1:4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</row>
    <row r="671" spans="1:4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</row>
    <row r="672" spans="1:4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</row>
    <row r="673" spans="1:4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</row>
    <row r="674" spans="1:4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</row>
    <row r="675" spans="1:4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</row>
    <row r="676" spans="1:4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</row>
    <row r="677" spans="1:4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</row>
    <row r="678" spans="1:4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</row>
    <row r="679" spans="1:4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</row>
    <row r="680" spans="1:4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</row>
    <row r="681" spans="1:4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</row>
    <row r="682" spans="1:4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</row>
    <row r="683" spans="1:4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</row>
    <row r="684" spans="1:4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</row>
    <row r="685" spans="1:4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</row>
    <row r="686" spans="1:4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</row>
    <row r="687" spans="1:4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</row>
    <row r="688" spans="1:4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</row>
    <row r="689" spans="1:4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</row>
    <row r="690" spans="1:4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</row>
    <row r="691" spans="1:4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</row>
    <row r="692" spans="1:4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</row>
    <row r="693" spans="1:4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</row>
    <row r="694" spans="1:4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</row>
    <row r="695" spans="1:4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</row>
    <row r="696" spans="1:4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</row>
    <row r="697" spans="1:4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</row>
    <row r="698" spans="1:4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</row>
    <row r="699" spans="1:4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"/>
  <sheetViews>
    <sheetView workbookViewId="0">
      <selection activeCell="G1" sqref="G1:G1048576"/>
    </sheetView>
  </sheetViews>
  <sheetFormatPr defaultRowHeight="14.5"/>
  <cols>
    <col min="1" max="1" width="24" customWidth="1"/>
    <col min="2" max="2" width="31" customWidth="1"/>
    <col min="3" max="3" width="52" customWidth="1"/>
    <col min="4" max="4" width="58" customWidth="1"/>
    <col min="5" max="5" width="18" customWidth="1"/>
    <col min="6" max="6" width="16" customWidth="1"/>
    <col min="7" max="7" width="58" hidden="1" customWidth="1"/>
  </cols>
  <sheetData>
    <row r="1" spans="1:7" ht="28" customHeight="1">
      <c r="A1" s="9" t="s">
        <v>132</v>
      </c>
      <c r="B1" s="10" t="s">
        <v>133</v>
      </c>
      <c r="C1" s="10" t="s">
        <v>134</v>
      </c>
      <c r="D1" s="10" t="s">
        <v>135</v>
      </c>
      <c r="E1" s="10" t="s">
        <v>84</v>
      </c>
      <c r="F1" s="10" t="s">
        <v>136</v>
      </c>
      <c r="G1" s="11" t="s">
        <v>137</v>
      </c>
    </row>
    <row r="2" spans="1:7" ht="25.4" customHeight="1">
      <c r="A2" s="3" t="s">
        <v>138</v>
      </c>
      <c r="B2" s="4" t="s">
        <v>139</v>
      </c>
      <c r="C2" s="4" t="s">
        <v>140</v>
      </c>
      <c r="D2" s="4" t="s">
        <v>141</v>
      </c>
      <c r="E2" s="1" t="s">
        <v>142</v>
      </c>
      <c r="F2" s="1" t="s">
        <v>20</v>
      </c>
      <c r="G2" s="5" t="s">
        <v>143</v>
      </c>
    </row>
    <row r="3" spans="1:7" ht="25.4" customHeight="1">
      <c r="A3" s="3" t="s">
        <v>138</v>
      </c>
      <c r="B3" s="4" t="s">
        <v>144</v>
      </c>
      <c r="C3" s="4" t="s">
        <v>145</v>
      </c>
      <c r="D3" s="4" t="s">
        <v>146</v>
      </c>
      <c r="E3" s="1" t="s">
        <v>142</v>
      </c>
      <c r="F3" s="1" t="s">
        <v>20</v>
      </c>
      <c r="G3" s="5" t="s">
        <v>147</v>
      </c>
    </row>
    <row r="4" spans="1:7" ht="25.4" customHeight="1">
      <c r="A4" s="3" t="s">
        <v>148</v>
      </c>
      <c r="B4" s="4" t="s">
        <v>149</v>
      </c>
      <c r="C4" s="4" t="s">
        <v>150</v>
      </c>
      <c r="D4" s="4" t="s">
        <v>151</v>
      </c>
      <c r="E4" s="1" t="s">
        <v>152</v>
      </c>
      <c r="F4" s="1" t="s">
        <v>20</v>
      </c>
      <c r="G4" s="5" t="s">
        <v>153</v>
      </c>
    </row>
    <row r="5" spans="1:7" ht="25.4" customHeight="1">
      <c r="A5" s="3" t="s">
        <v>154</v>
      </c>
      <c r="B5" s="4" t="s">
        <v>155</v>
      </c>
      <c r="C5" s="4" t="s">
        <v>156</v>
      </c>
      <c r="D5" s="4" t="s">
        <v>157</v>
      </c>
      <c r="E5" s="1" t="s">
        <v>11</v>
      </c>
      <c r="F5" s="1" t="s">
        <v>158</v>
      </c>
      <c r="G5" s="5"/>
    </row>
    <row r="6" spans="1:7" ht="35.4" customHeight="1">
      <c r="A6" s="3" t="s">
        <v>159</v>
      </c>
      <c r="B6" s="4" t="s">
        <v>160</v>
      </c>
      <c r="C6" s="4" t="s">
        <v>161</v>
      </c>
      <c r="D6" s="4" t="s">
        <v>162</v>
      </c>
      <c r="E6" s="1" t="s">
        <v>152</v>
      </c>
      <c r="F6" s="1" t="s">
        <v>20</v>
      </c>
      <c r="G6" s="5" t="s">
        <v>163</v>
      </c>
    </row>
    <row r="7" spans="1:7" ht="25.4" customHeight="1">
      <c r="A7" s="3" t="s">
        <v>164</v>
      </c>
      <c r="B7" s="4" t="s">
        <v>165</v>
      </c>
      <c r="C7" s="4" t="s">
        <v>166</v>
      </c>
      <c r="D7" s="4" t="s">
        <v>167</v>
      </c>
      <c r="E7" s="1" t="s">
        <v>20</v>
      </c>
      <c r="F7" s="1" t="s">
        <v>168</v>
      </c>
      <c r="G7" s="5"/>
    </row>
    <row r="8" spans="1:7" ht="25.4" customHeight="1">
      <c r="A8" s="3" t="s">
        <v>164</v>
      </c>
      <c r="B8" s="4" t="s">
        <v>169</v>
      </c>
      <c r="C8" s="4" t="s">
        <v>170</v>
      </c>
      <c r="D8" s="4" t="s">
        <v>171</v>
      </c>
      <c r="E8" s="1" t="s">
        <v>20</v>
      </c>
      <c r="F8" s="1" t="s">
        <v>172</v>
      </c>
      <c r="G8" s="5"/>
    </row>
    <row r="9" spans="1:7" ht="35.4" customHeight="1">
      <c r="A9" s="3" t="s">
        <v>173</v>
      </c>
      <c r="B9" s="4" t="s">
        <v>174</v>
      </c>
      <c r="C9" s="4" t="s">
        <v>175</v>
      </c>
      <c r="D9" s="4" t="s">
        <v>176</v>
      </c>
      <c r="E9" s="1" t="s">
        <v>20</v>
      </c>
      <c r="F9" s="1" t="s">
        <v>177</v>
      </c>
      <c r="G9" s="5"/>
    </row>
    <row r="10" spans="1:7" ht="35.4" customHeight="1">
      <c r="A10" s="3" t="s">
        <v>173</v>
      </c>
      <c r="B10" s="4" t="s">
        <v>178</v>
      </c>
      <c r="C10" s="4" t="s">
        <v>179</v>
      </c>
      <c r="D10" s="4" t="s">
        <v>180</v>
      </c>
      <c r="E10" s="1" t="s">
        <v>20</v>
      </c>
      <c r="F10" s="1" t="s">
        <v>181</v>
      </c>
      <c r="G10" s="5"/>
    </row>
    <row r="11" spans="1:7" ht="35.4" customHeight="1">
      <c r="A11" s="3" t="s">
        <v>182</v>
      </c>
      <c r="B11" s="4" t="s">
        <v>183</v>
      </c>
      <c r="C11" s="4" t="s">
        <v>184</v>
      </c>
      <c r="D11" s="4" t="s">
        <v>185</v>
      </c>
      <c r="E11" s="1" t="s">
        <v>11</v>
      </c>
      <c r="F11" s="1" t="s">
        <v>186</v>
      </c>
      <c r="G11" s="5"/>
    </row>
    <row r="12" spans="1:7" ht="35.4" customHeight="1">
      <c r="A12" s="3" t="s">
        <v>187</v>
      </c>
      <c r="B12" s="4" t="s">
        <v>188</v>
      </c>
      <c r="C12" s="4" t="s">
        <v>189</v>
      </c>
      <c r="D12" s="4" t="s">
        <v>190</v>
      </c>
      <c r="E12" s="1" t="s">
        <v>16</v>
      </c>
      <c r="F12" s="1" t="s">
        <v>191</v>
      </c>
      <c r="G12" s="5"/>
    </row>
    <row r="13" spans="1:7" ht="45.4" customHeight="1">
      <c r="A13" s="6" t="s">
        <v>192</v>
      </c>
      <c r="B13" s="7" t="s">
        <v>193</v>
      </c>
      <c r="C13" s="7" t="s">
        <v>194</v>
      </c>
      <c r="D13" s="7" t="s">
        <v>195</v>
      </c>
      <c r="E13" s="2" t="s">
        <v>20</v>
      </c>
      <c r="F13" s="2" t="s">
        <v>196</v>
      </c>
      <c r="G13" s="8"/>
    </row>
    <row r="14" spans="1:7">
      <c r="E14" s="12"/>
      <c r="F14" s="12"/>
    </row>
    <row r="15" spans="1:7">
      <c r="E15" s="12"/>
      <c r="F15" s="12"/>
    </row>
    <row r="16" spans="1:7">
      <c r="E16" s="12"/>
      <c r="F16" s="12"/>
    </row>
    <row r="17" spans="5:6">
      <c r="E17" s="12"/>
      <c r="F17" s="12"/>
    </row>
    <row r="18" spans="5:6">
      <c r="E18" s="12"/>
      <c r="F18" s="12"/>
    </row>
    <row r="19" spans="5:6">
      <c r="E19" s="12"/>
      <c r="F19" s="12"/>
    </row>
    <row r="20" spans="5:6">
      <c r="E20" s="12"/>
      <c r="F20" s="12"/>
    </row>
    <row r="21" spans="5:6">
      <c r="E21" s="12"/>
      <c r="F21" s="12"/>
    </row>
    <row r="22" spans="5:6">
      <c r="E22" s="12"/>
      <c r="F22" s="12"/>
    </row>
    <row r="23" spans="5:6">
      <c r="E23" s="12"/>
      <c r="F23" s="12"/>
    </row>
    <row r="24" spans="5:6">
      <c r="E24" s="12"/>
      <c r="F24" s="12"/>
    </row>
    <row r="25" spans="5:6">
      <c r="E25" s="12"/>
      <c r="F25" s="12"/>
    </row>
    <row r="26" spans="5:6">
      <c r="E26" s="12"/>
      <c r="F26" s="12"/>
    </row>
    <row r="27" spans="5:6">
      <c r="E27" s="12"/>
      <c r="F27" s="12"/>
    </row>
    <row r="28" spans="5:6">
      <c r="E28" s="12"/>
      <c r="F28" s="12"/>
    </row>
    <row r="29" spans="5:6">
      <c r="E29" s="12"/>
      <c r="F29" s="12"/>
    </row>
    <row r="30" spans="5:6">
      <c r="E30" s="12"/>
      <c r="F30" s="12"/>
    </row>
    <row r="31" spans="5:6">
      <c r="E31" s="12"/>
      <c r="F31" s="12"/>
    </row>
    <row r="32" spans="5:6">
      <c r="E32" s="12"/>
      <c r="F32" s="12"/>
    </row>
    <row r="33" spans="5:6">
      <c r="E33" s="12"/>
      <c r="F33" s="12"/>
    </row>
    <row r="34" spans="5:6">
      <c r="E34" s="12"/>
      <c r="F34" s="12"/>
    </row>
    <row r="35" spans="5:6">
      <c r="E35" s="12"/>
      <c r="F35" s="12"/>
    </row>
    <row r="36" spans="5:6">
      <c r="E36" s="12"/>
      <c r="F36" s="12"/>
    </row>
    <row r="37" spans="5:6">
      <c r="E37" s="12"/>
      <c r="F37" s="12"/>
    </row>
    <row r="38" spans="5:6">
      <c r="E38" s="12"/>
      <c r="F38" s="12"/>
    </row>
    <row r="39" spans="5:6">
      <c r="E39" s="12"/>
      <c r="F39" s="12"/>
    </row>
    <row r="40" spans="5:6">
      <c r="E40" s="12"/>
      <c r="F40" s="12"/>
    </row>
    <row r="41" spans="5:6">
      <c r="E41" s="12"/>
      <c r="F41" s="12"/>
    </row>
    <row r="42" spans="5:6">
      <c r="E42" s="12"/>
      <c r="F42" s="12"/>
    </row>
    <row r="43" spans="5:6">
      <c r="E43" s="12"/>
      <c r="F43" s="12"/>
    </row>
    <row r="44" spans="5:6">
      <c r="E44" s="12"/>
      <c r="F44" s="12"/>
    </row>
    <row r="45" spans="5:6">
      <c r="E45" s="12"/>
      <c r="F45" s="12"/>
    </row>
    <row r="46" spans="5:6">
      <c r="E46" s="12"/>
      <c r="F46" s="12"/>
    </row>
    <row r="47" spans="5:6">
      <c r="E47" s="12"/>
      <c r="F47" s="12"/>
    </row>
    <row r="48" spans="5:6">
      <c r="E48" s="12"/>
      <c r="F48" s="12"/>
    </row>
    <row r="49" spans="5:6">
      <c r="E49" s="12"/>
      <c r="F49" s="12"/>
    </row>
    <row r="50" spans="5:6">
      <c r="E50" s="12"/>
      <c r="F50" s="12"/>
    </row>
    <row r="51" spans="5:6">
      <c r="E51" s="12"/>
      <c r="F51" s="12"/>
    </row>
    <row r="52" spans="5:6">
      <c r="E52" s="12"/>
      <c r="F52" s="12"/>
    </row>
    <row r="53" spans="5:6">
      <c r="E53" s="12"/>
      <c r="F53" s="12"/>
    </row>
    <row r="54" spans="5:6">
      <c r="E54" s="12"/>
      <c r="F54" s="12"/>
    </row>
    <row r="55" spans="5:6">
      <c r="E55" s="12"/>
      <c r="F55" s="12"/>
    </row>
    <row r="56" spans="5:6">
      <c r="E56" s="12"/>
      <c r="F56" s="12"/>
    </row>
    <row r="57" spans="5:6">
      <c r="E57" s="12"/>
      <c r="F57" s="12"/>
    </row>
    <row r="58" spans="5:6">
      <c r="E58" s="12"/>
      <c r="F58" s="12"/>
    </row>
    <row r="59" spans="5:6">
      <c r="E59" s="12"/>
      <c r="F59" s="12"/>
    </row>
    <row r="60" spans="5:6">
      <c r="E60" s="12"/>
      <c r="F60" s="12"/>
    </row>
    <row r="61" spans="5:6">
      <c r="E61" s="12"/>
      <c r="F61" s="12"/>
    </row>
    <row r="62" spans="5:6">
      <c r="E62" s="12"/>
      <c r="F62" s="12"/>
    </row>
    <row r="63" spans="5:6">
      <c r="E63" s="12"/>
      <c r="F63" s="12"/>
    </row>
    <row r="64" spans="5:6">
      <c r="E64" s="12"/>
      <c r="F64" s="12"/>
    </row>
    <row r="65" spans="5:6">
      <c r="E65" s="12"/>
      <c r="F65" s="12"/>
    </row>
    <row r="66" spans="5:6">
      <c r="E66" s="12"/>
      <c r="F66" s="12"/>
    </row>
    <row r="67" spans="5:6">
      <c r="E67" s="12"/>
      <c r="F67" s="12"/>
    </row>
    <row r="68" spans="5:6">
      <c r="E68" s="12"/>
      <c r="F68" s="12"/>
    </row>
    <row r="69" spans="5:6">
      <c r="E69" s="12"/>
      <c r="F69" s="12"/>
    </row>
    <row r="70" spans="5:6">
      <c r="E70" s="12"/>
      <c r="F70" s="12"/>
    </row>
    <row r="71" spans="5:6">
      <c r="E71" s="12"/>
      <c r="F71" s="12"/>
    </row>
    <row r="72" spans="5:6">
      <c r="E72" s="12"/>
      <c r="F72" s="12"/>
    </row>
    <row r="73" spans="5:6">
      <c r="E73" s="12"/>
      <c r="F73" s="12"/>
    </row>
    <row r="74" spans="5:6">
      <c r="E74" s="12"/>
      <c r="F74" s="12"/>
    </row>
    <row r="75" spans="5:6">
      <c r="E75" s="12"/>
      <c r="F75" s="12"/>
    </row>
    <row r="76" spans="5:6">
      <c r="E76" s="12"/>
      <c r="F76" s="12"/>
    </row>
    <row r="77" spans="5:6">
      <c r="E77" s="12"/>
      <c r="F77" s="12"/>
    </row>
    <row r="78" spans="5:6">
      <c r="E78" s="12"/>
      <c r="F78" s="12"/>
    </row>
    <row r="79" spans="5:6">
      <c r="E79" s="12"/>
      <c r="F79" s="12"/>
    </row>
    <row r="80" spans="5:6">
      <c r="E80" s="12"/>
      <c r="F80" s="12"/>
    </row>
    <row r="81" spans="5:6">
      <c r="E81" s="12"/>
      <c r="F81" s="12"/>
    </row>
    <row r="82" spans="5:6">
      <c r="E82" s="12"/>
      <c r="F82" s="12"/>
    </row>
    <row r="83" spans="5:6">
      <c r="E83" s="12"/>
      <c r="F83" s="12"/>
    </row>
    <row r="84" spans="5:6">
      <c r="E84" s="12"/>
      <c r="F84" s="12"/>
    </row>
    <row r="85" spans="5:6">
      <c r="E85" s="12"/>
      <c r="F85" s="12"/>
    </row>
    <row r="86" spans="5:6">
      <c r="E86" s="12"/>
      <c r="F86" s="12"/>
    </row>
    <row r="87" spans="5:6">
      <c r="E87" s="12"/>
      <c r="F87" s="12"/>
    </row>
    <row r="88" spans="5:6">
      <c r="E88" s="12"/>
      <c r="F88" s="12"/>
    </row>
    <row r="89" spans="5:6">
      <c r="E89" s="12"/>
      <c r="F89" s="12"/>
    </row>
    <row r="90" spans="5:6">
      <c r="E90" s="12"/>
      <c r="F90" s="12"/>
    </row>
    <row r="91" spans="5:6">
      <c r="E91" s="12"/>
      <c r="F91" s="12"/>
    </row>
    <row r="92" spans="5:6">
      <c r="E92" s="12"/>
      <c r="F92" s="12"/>
    </row>
    <row r="93" spans="5:6">
      <c r="E93" s="12"/>
      <c r="F93" s="12"/>
    </row>
    <row r="94" spans="5:6">
      <c r="E94" s="12"/>
      <c r="F94" s="12"/>
    </row>
    <row r="95" spans="5:6">
      <c r="E95" s="12"/>
      <c r="F95" s="12"/>
    </row>
    <row r="96" spans="5:6">
      <c r="E96" s="12"/>
      <c r="F96" s="12"/>
    </row>
    <row r="97" spans="5:6">
      <c r="E97" s="12"/>
      <c r="F97" s="12"/>
    </row>
    <row r="98" spans="5:6">
      <c r="E98" s="12"/>
      <c r="F98" s="12"/>
    </row>
    <row r="99" spans="5:6">
      <c r="E99" s="12"/>
      <c r="F99" s="12"/>
    </row>
    <row r="100" spans="5:6">
      <c r="E100" s="12"/>
      <c r="F100" s="12"/>
    </row>
    <row r="101" spans="5:6">
      <c r="E101" s="12"/>
      <c r="F101" s="12"/>
    </row>
    <row r="102" spans="5:6">
      <c r="E102" s="12"/>
      <c r="F102" s="12"/>
    </row>
    <row r="103" spans="5:6">
      <c r="E103" s="12"/>
      <c r="F103" s="12"/>
    </row>
    <row r="104" spans="5:6">
      <c r="E104" s="12"/>
      <c r="F104" s="12"/>
    </row>
    <row r="105" spans="5:6">
      <c r="E105" s="12"/>
      <c r="F105" s="12"/>
    </row>
    <row r="106" spans="5:6">
      <c r="E106" s="12"/>
      <c r="F106" s="12"/>
    </row>
    <row r="107" spans="5:6">
      <c r="E107" s="12"/>
      <c r="F107" s="12"/>
    </row>
    <row r="108" spans="5:6">
      <c r="E108" s="12"/>
      <c r="F108" s="12"/>
    </row>
    <row r="109" spans="5:6">
      <c r="E109" s="12"/>
      <c r="F109" s="12"/>
    </row>
    <row r="110" spans="5:6">
      <c r="E110" s="12"/>
      <c r="F110" s="12"/>
    </row>
    <row r="111" spans="5:6">
      <c r="E111" s="12"/>
      <c r="F111" s="12"/>
    </row>
    <row r="112" spans="5:6">
      <c r="E112" s="12"/>
      <c r="F112" s="12"/>
    </row>
    <row r="113" spans="5:6">
      <c r="E113" s="12"/>
      <c r="F113" s="12"/>
    </row>
    <row r="114" spans="5:6">
      <c r="E114" s="12"/>
      <c r="F114" s="12"/>
    </row>
    <row r="115" spans="5:6">
      <c r="E115" s="12"/>
      <c r="F115" s="12"/>
    </row>
    <row r="116" spans="5:6">
      <c r="E116" s="12"/>
      <c r="F116" s="12"/>
    </row>
    <row r="117" spans="5:6">
      <c r="E117" s="12"/>
      <c r="F117" s="12"/>
    </row>
    <row r="118" spans="5:6">
      <c r="E118" s="12"/>
      <c r="F118" s="12"/>
    </row>
    <row r="119" spans="5:6">
      <c r="E119" s="12"/>
      <c r="F119" s="12"/>
    </row>
    <row r="120" spans="5:6">
      <c r="E120" s="12"/>
      <c r="F120" s="12"/>
    </row>
    <row r="121" spans="5:6">
      <c r="E121" s="12"/>
      <c r="F121" s="12"/>
    </row>
    <row r="122" spans="5:6">
      <c r="E122" s="12"/>
      <c r="F122" s="12"/>
    </row>
    <row r="123" spans="5:6">
      <c r="E123" s="12"/>
      <c r="F123" s="12"/>
    </row>
    <row r="124" spans="5:6">
      <c r="E124" s="12"/>
      <c r="F124" s="12"/>
    </row>
    <row r="125" spans="5:6">
      <c r="E125" s="12"/>
      <c r="F125" s="12"/>
    </row>
    <row r="126" spans="5:6">
      <c r="E126" s="12"/>
      <c r="F126" s="12"/>
    </row>
    <row r="127" spans="5:6">
      <c r="E127" s="12"/>
      <c r="F127" s="12"/>
    </row>
    <row r="128" spans="5:6">
      <c r="E128" s="12"/>
      <c r="F128" s="12"/>
    </row>
    <row r="129" spans="5:6">
      <c r="E129" s="12"/>
      <c r="F129" s="12"/>
    </row>
    <row r="130" spans="5:6">
      <c r="E130" s="12"/>
      <c r="F130" s="12"/>
    </row>
    <row r="131" spans="5:6">
      <c r="E131" s="12"/>
      <c r="F131" s="12"/>
    </row>
    <row r="132" spans="5:6">
      <c r="E132" s="12"/>
      <c r="F132" s="12"/>
    </row>
    <row r="133" spans="5:6">
      <c r="E133" s="12"/>
      <c r="F133" s="12"/>
    </row>
    <row r="134" spans="5:6">
      <c r="E134" s="12"/>
      <c r="F134" s="12"/>
    </row>
    <row r="135" spans="5:6">
      <c r="E135" s="12"/>
      <c r="F135" s="12"/>
    </row>
    <row r="136" spans="5:6">
      <c r="E136" s="12"/>
      <c r="F136" s="12"/>
    </row>
    <row r="137" spans="5:6">
      <c r="E137" s="12"/>
      <c r="F137" s="12"/>
    </row>
    <row r="138" spans="5:6">
      <c r="E138" s="12"/>
      <c r="F138" s="12"/>
    </row>
    <row r="139" spans="5:6">
      <c r="E139" s="12"/>
      <c r="F139" s="12"/>
    </row>
    <row r="140" spans="5:6">
      <c r="E140" s="12"/>
      <c r="F140" s="12"/>
    </row>
    <row r="141" spans="5:6">
      <c r="E141" s="12"/>
      <c r="F141" s="12"/>
    </row>
    <row r="142" spans="5:6">
      <c r="E142" s="12"/>
      <c r="F142" s="12"/>
    </row>
    <row r="143" spans="5:6">
      <c r="E143" s="12"/>
      <c r="F143" s="12"/>
    </row>
    <row r="144" spans="5:6">
      <c r="E144" s="12"/>
      <c r="F144" s="12"/>
    </row>
    <row r="145" spans="5:6">
      <c r="E145" s="12"/>
      <c r="F145" s="12"/>
    </row>
    <row r="146" spans="5:6">
      <c r="E146" s="12"/>
      <c r="F146" s="12"/>
    </row>
    <row r="147" spans="5:6">
      <c r="E147" s="12"/>
      <c r="F147" s="12"/>
    </row>
    <row r="148" spans="5:6">
      <c r="E148" s="12"/>
      <c r="F148" s="12"/>
    </row>
    <row r="149" spans="5:6">
      <c r="E149" s="12"/>
      <c r="F149" s="12"/>
    </row>
    <row r="150" spans="5:6">
      <c r="E150" s="12"/>
      <c r="F150" s="12"/>
    </row>
    <row r="151" spans="5:6">
      <c r="E151" s="12"/>
      <c r="F151" s="12"/>
    </row>
    <row r="152" spans="5:6">
      <c r="E152" s="12"/>
      <c r="F152" s="12"/>
    </row>
    <row r="153" spans="5:6">
      <c r="E153" s="12"/>
      <c r="F153" s="12"/>
    </row>
    <row r="154" spans="5:6">
      <c r="E154" s="12"/>
      <c r="F154" s="12"/>
    </row>
    <row r="155" spans="5:6">
      <c r="E155" s="12"/>
      <c r="F155" s="12"/>
    </row>
    <row r="156" spans="5:6">
      <c r="E156" s="12"/>
      <c r="F156" s="12"/>
    </row>
    <row r="157" spans="5:6">
      <c r="E157" s="12"/>
      <c r="F157" s="12"/>
    </row>
    <row r="158" spans="5:6">
      <c r="E158" s="12"/>
      <c r="F158" s="12"/>
    </row>
    <row r="159" spans="5:6">
      <c r="E159" s="12"/>
      <c r="F159" s="12"/>
    </row>
    <row r="160" spans="5:6">
      <c r="E160" s="12"/>
      <c r="F160" s="12"/>
    </row>
    <row r="161" spans="5:6">
      <c r="E161" s="12"/>
      <c r="F161" s="12"/>
    </row>
    <row r="162" spans="5:6">
      <c r="E162" s="12"/>
      <c r="F162" s="12"/>
    </row>
    <row r="163" spans="5:6">
      <c r="E163" s="12"/>
      <c r="F163" s="12"/>
    </row>
    <row r="164" spans="5:6">
      <c r="E164" s="12"/>
      <c r="F164" s="12"/>
    </row>
    <row r="165" spans="5:6">
      <c r="E165" s="12"/>
      <c r="F165" s="12"/>
    </row>
    <row r="166" spans="5:6">
      <c r="E166" s="12"/>
      <c r="F166" s="12"/>
    </row>
    <row r="167" spans="5:6">
      <c r="E167" s="12"/>
      <c r="F167" s="12"/>
    </row>
    <row r="168" spans="5:6">
      <c r="E168" s="12"/>
      <c r="F168" s="12"/>
    </row>
    <row r="169" spans="5:6">
      <c r="E169" s="12"/>
      <c r="F169" s="12"/>
    </row>
    <row r="170" spans="5:6">
      <c r="E170" s="12"/>
      <c r="F170" s="12"/>
    </row>
    <row r="171" spans="5:6">
      <c r="E171" s="12"/>
      <c r="F171" s="12"/>
    </row>
    <row r="172" spans="5:6">
      <c r="E172" s="12"/>
      <c r="F172" s="12"/>
    </row>
    <row r="173" spans="5:6">
      <c r="E173" s="12"/>
      <c r="F173" s="12"/>
    </row>
    <row r="174" spans="5:6">
      <c r="E174" s="12"/>
      <c r="F174" s="12"/>
    </row>
    <row r="175" spans="5:6">
      <c r="E175" s="12"/>
      <c r="F175" s="12"/>
    </row>
    <row r="176" spans="5:6">
      <c r="E176" s="12"/>
      <c r="F176" s="12"/>
    </row>
    <row r="177" spans="5:6">
      <c r="E177" s="12"/>
      <c r="F177" s="12"/>
    </row>
    <row r="178" spans="5:6">
      <c r="E178" s="12"/>
      <c r="F178" s="12"/>
    </row>
    <row r="179" spans="5:6">
      <c r="E179" s="12"/>
      <c r="F179" s="12"/>
    </row>
    <row r="180" spans="5:6">
      <c r="E180" s="12"/>
      <c r="F180" s="12"/>
    </row>
    <row r="181" spans="5:6">
      <c r="E181" s="12"/>
      <c r="F181" s="12"/>
    </row>
    <row r="182" spans="5:6">
      <c r="E182" s="12"/>
      <c r="F182" s="12"/>
    </row>
    <row r="183" spans="5:6">
      <c r="E183" s="12"/>
      <c r="F183" s="12"/>
    </row>
    <row r="184" spans="5:6">
      <c r="E184" s="12"/>
      <c r="F184" s="12"/>
    </row>
    <row r="185" spans="5:6">
      <c r="E185" s="12"/>
      <c r="F185" s="12"/>
    </row>
    <row r="186" spans="5:6">
      <c r="E186" s="12"/>
      <c r="F186" s="12"/>
    </row>
    <row r="187" spans="5:6">
      <c r="E187" s="12"/>
      <c r="F187" s="12"/>
    </row>
    <row r="188" spans="5:6">
      <c r="E188" s="12"/>
      <c r="F188" s="12"/>
    </row>
    <row r="189" spans="5:6">
      <c r="E189" s="12"/>
      <c r="F189" s="12"/>
    </row>
    <row r="190" spans="5:6">
      <c r="E190" s="12"/>
      <c r="F190" s="12"/>
    </row>
    <row r="191" spans="5:6">
      <c r="E191" s="12"/>
      <c r="F191" s="12"/>
    </row>
    <row r="192" spans="5:6">
      <c r="E192" s="12"/>
      <c r="F192" s="12"/>
    </row>
    <row r="193" spans="5:6">
      <c r="E193" s="12"/>
      <c r="F193" s="12"/>
    </row>
    <row r="194" spans="5:6">
      <c r="E194" s="12"/>
      <c r="F194" s="12"/>
    </row>
    <row r="195" spans="5:6">
      <c r="E195" s="12"/>
      <c r="F195" s="12"/>
    </row>
    <row r="196" spans="5:6">
      <c r="E196" s="12"/>
      <c r="F196" s="12"/>
    </row>
    <row r="197" spans="5:6">
      <c r="E197" s="12"/>
      <c r="F197" s="12"/>
    </row>
    <row r="198" spans="5:6">
      <c r="E198" s="12"/>
      <c r="F198" s="12"/>
    </row>
    <row r="199" spans="5:6">
      <c r="E199" s="12"/>
      <c r="F199" s="12"/>
    </row>
    <row r="200" spans="5:6">
      <c r="E200" s="12"/>
      <c r="F200" s="12"/>
    </row>
  </sheetData>
  <conditionalFormatting sqref="E2:E13">
    <cfRule type="expression" dxfId="10" priority="1">
      <formula>E2="PASS"</formula>
    </cfRule>
    <cfRule type="expression" dxfId="9" priority="2">
      <formula>E2="OBSERVED"</formula>
    </cfRule>
    <cfRule type="expression" dxfId="8" priority="3">
      <formula>E2="PARTIAL"</formula>
    </cfRule>
    <cfRule type="expression" dxfId="7" priority="4">
      <formula>E2="FAIL"</formula>
    </cfRule>
    <cfRule type="expression" dxfId="6" priority="5">
      <formula>E2="UNVERIFIED"</formula>
    </cfRule>
    <cfRule type="expression" dxfId="5" priority="6">
      <formula>E2="UNVERIFIABLE"</formula>
    </cfRule>
    <cfRule type="expression" dxfId="4" priority="7">
      <formula>E2="DEGRADED"</formula>
    </cfRule>
    <cfRule type="expression" dxfId="3" priority="8">
      <formula>E2="ERROR"</formula>
    </cfRule>
  </conditionalFormatting>
  <conditionalFormatting sqref="F2:F13">
    <cfRule type="expression" dxfId="2" priority="9">
      <formula>F2="HIGH"</formula>
    </cfRule>
    <cfRule type="expression" dxfId="1" priority="10">
      <formula>F2="MEDIUM"</formula>
    </cfRule>
    <cfRule type="expression" dxfId="0" priority="11">
      <formula>F2="LOW"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Scan Inventory</vt:lpstr>
      <vt:lpstr>Analyzer Comparison</vt:lpstr>
      <vt:lpstr>Findings Comparison</vt:lpstr>
      <vt:lpstr>LLM Behavior</vt:lpstr>
      <vt:lpstr>Master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 Baghale</cp:lastModifiedBy>
  <dcterms:created xsi:type="dcterms:W3CDTF">2026-08-26T20:49:37Z</dcterms:created>
  <dcterms:modified xsi:type="dcterms:W3CDTF">2026-08-27T08:08:30Z</dcterms:modified>
</cp:coreProperties>
</file>