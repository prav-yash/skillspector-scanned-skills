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gent-Skills\reports\Evaluation -Excel\inspect\"/>
    </mc:Choice>
  </mc:AlternateContent>
  <xr:revisionPtr revIDLastSave="0" documentId="13_ncr:20001_{5A3634AC-A806-4A03-9BF5-2C0630B00DAC}" xr6:coauthVersionLast="36" xr6:coauthVersionMax="36" xr10:uidLastSave="{00000000-0000-0000-0000-000000000000}"/>
  <bookViews>
    <workbookView xWindow="0" yWindow="0" windowWidth="19200" windowHeight="6230" firstSheet="1" activeTab="4" xr2:uid="{00000000-000D-0000-FFFF-FFFF00000000}"/>
  </bookViews>
  <sheets>
    <sheet name="Scan Inventory" sheetId="1" r:id="rId1"/>
    <sheet name="Analyzer Comparison" sheetId="2" r:id="rId2"/>
    <sheet name="Findings Comparison" sheetId="3" r:id="rId3"/>
    <sheet name="LLM Behavior" sheetId="4" r:id="rId4"/>
    <sheet name="Master Evaluation" sheetId="5" r:id="rId5"/>
  </sheets>
  <definedNames>
    <definedName name="_xlnm._FilterDatabase" localSheetId="1" hidden="1">'Analyzer Comparison'!$A$1:$F$6</definedName>
  </definedNames>
  <calcPr calcId="191029"/>
  <fileRecoveryPr repairLoad="1"/>
</workbook>
</file>

<file path=xl/calcChain.xml><?xml version="1.0" encoding="utf-8"?>
<calcChain xmlns="http://schemas.openxmlformats.org/spreadsheetml/2006/main">
  <c r="P11" i="4" l="1"/>
  <c r="O11" i="4"/>
  <c r="N11" i="4"/>
  <c r="M11" i="4"/>
  <c r="P10" i="4"/>
  <c r="O10" i="4"/>
  <c r="N10" i="4"/>
  <c r="M10" i="4"/>
  <c r="P9" i="4"/>
  <c r="O9" i="4"/>
  <c r="N9" i="4"/>
  <c r="M9" i="4"/>
  <c r="P4" i="4"/>
  <c r="R11" i="4" s="1"/>
  <c r="O4" i="4"/>
  <c r="P3" i="4"/>
  <c r="R10" i="4" s="1"/>
  <c r="O3" i="4"/>
  <c r="P2" i="4"/>
  <c r="R9" i="4" s="1"/>
  <c r="O2" i="4"/>
  <c r="Q4" i="4" l="1"/>
  <c r="S11" i="4" s="1"/>
  <c r="Q2" i="4"/>
  <c r="S9" i="4" s="1"/>
  <c r="Q3" i="4"/>
  <c r="S10" i="4" s="1"/>
  <c r="O12" i="4"/>
  <c r="R12" i="4"/>
  <c r="P12" i="4"/>
  <c r="Q11" i="4"/>
  <c r="Q10" i="4"/>
  <c r="Q9" i="4"/>
  <c r="S12" i="4" l="1"/>
  <c r="Q12" i="4"/>
</calcChain>
</file>

<file path=xl/sharedStrings.xml><?xml version="1.0" encoding="utf-8"?>
<sst xmlns="http://schemas.openxmlformats.org/spreadsheetml/2006/main" count="298" uniqueCount="204">
  <si>
    <t>Run ID</t>
  </si>
  <si>
    <t>Report JSON</t>
  </si>
  <si>
    <t>Mapped Log</t>
  </si>
  <si>
    <t>Model</t>
  </si>
  <si>
    <t>LLM Called</t>
  </si>
  <si>
    <t>LLM Calls Succeeded</t>
  </si>
  <si>
    <t>Inference Usage Entries</t>
  </si>
  <si>
    <t>Total Tokens</t>
  </si>
  <si>
    <t>Execution Successful</t>
  </si>
  <si>
    <t>Total Components</t>
  </si>
  <si>
    <t>Scanned Components</t>
  </si>
  <si>
    <t>Coverage %</t>
  </si>
  <si>
    <t>Fully Inspected</t>
  </si>
  <si>
    <t>Findings Before Filter</t>
  </si>
  <si>
    <t>Findings After Filter</t>
  </si>
  <si>
    <t>Issues Count</t>
  </si>
  <si>
    <t>Score</t>
  </si>
  <si>
    <t>Severity</t>
  </si>
  <si>
    <t>Recommendation</t>
  </si>
  <si>
    <t>Evidence / Notes</t>
  </si>
  <si>
    <t>R1</t>
  </si>
  <si>
    <t>academy-guide-gemini-3.1-flash-lite-report.json</t>
  </si>
  <si>
    <t>academy-guide-gemini-3.1-flash-lite-logs.txt</t>
  </si>
  <si>
    <t>gemini-3.1-flash-lite</t>
  </si>
  <si>
    <t>True</t>
  </si>
  <si>
    <t>LOW</t>
  </si>
  <si>
    <t>SAFE</t>
  </si>
  <si>
    <t>Report components: LICENSE.txt, SKILL.md
Log warnings=16, errors=0, LLM call lines=7, LLM response lines=7</t>
  </si>
  <si>
    <t>R2</t>
  </si>
  <si>
    <t>report-academy-guide-skill-haikyu-4.5.json</t>
  </si>
  <si>
    <t>logs.txt</t>
  </si>
  <si>
    <t>claude-haiku-4-5-20251001</t>
  </si>
  <si>
    <t>R3</t>
  </si>
  <si>
    <t>report-academy-guide-skill-sonnet-4.5.json</t>
  </si>
  <si>
    <t>logs-academy-guide-sonnet-4-5.txt</t>
  </si>
  <si>
    <t>claude-sonnet-4-5-20250929</t>
  </si>
  <si>
    <t>Analyzer Family</t>
  </si>
  <si>
    <t>Analyzer Group</t>
  </si>
  <si>
    <t>Gemini 3.1</t>
  </si>
  <si>
    <t>Haiku 4.5</t>
  </si>
  <si>
    <t>Sonnet 4.5</t>
  </si>
  <si>
    <t>Evidence Summary</t>
  </si>
  <si>
    <t>Static</t>
  </si>
  <si>
    <t>All static pattern analyzers + YARA</t>
  </si>
  <si>
    <t>Completed; candidate static findings filtered to 0 final issues</t>
  </si>
  <si>
    <t>Reports/logs show static analyzer work completed over 2 components. Each run shows findings_before_filtering=2 and findings_after_filtering=0; final issues[] is empty.</t>
  </si>
  <si>
    <t>MCP</t>
  </si>
  <si>
    <t>Least privilege / tool poisoning / rug pull</t>
  </si>
  <si>
    <t>Mixed: mcp_least_privilege not applicable; mcp_tool_poisoning and mcp_rug_pull completed</t>
  </si>
  <si>
    <t>Same</t>
  </si>
  <si>
    <t>MCP least privilege is not applicable due no executable files; tool poisoning and rug pull completed with 0 final issues.</t>
  </si>
  <si>
    <t>Behavioral</t>
  </si>
  <si>
    <t>AST + taint tracking</t>
  </si>
  <si>
    <t>Not applicable</t>
  </si>
  <si>
    <t>behavioral_ast and behavioral_taint_tracking are not_applicable because no applicable executable/source-code files exist in the academy skill package.</t>
  </si>
  <si>
    <t>Semantic</t>
  </si>
  <si>
    <t>Security / intent / quality policy</t>
  </si>
  <si>
    <t>Completed; 0 final issues retained</t>
  </si>
  <si>
    <t>Semantic analyzers completed in all three runs. Logs/reports show 2 candidate findings before filtering and 0 findings after filtering for each run.</t>
  </si>
  <si>
    <t>Meta Analyzer</t>
  </si>
  <si>
    <t>Filtering/enrichment</t>
  </si>
  <si>
    <t>2 → 0</t>
  </si>
  <si>
    <t>Meta analyzer completed one batch per run and filtered candidate findings from 2 to 0. Final report issues[] is empty for all three scans.</t>
  </si>
  <si>
    <t>Finding ID</t>
  </si>
  <si>
    <t>Category</t>
  </si>
  <si>
    <t>Confidence</t>
  </si>
  <si>
    <t>Report Evidence</t>
  </si>
  <si>
    <t>Status</t>
  </si>
  <si>
    <t>NO_ACTIVE_ISSUES_REPORTED</t>
  </si>
  <si>
    <t>No active issues in report</t>
  </si>
  <si>
    <t>issues=[]; findings_before_filtering=2; findings_after_filtering=0; suppressed_count=0</t>
  </si>
  <si>
    <t>OBSERVED</t>
  </si>
  <si>
    <t>LLM Available</t>
  </si>
  <si>
    <t>Meta Analysis Applied</t>
  </si>
  <si>
    <t>Calls Attempted</t>
  </si>
  <si>
    <t>Calls Succeeded</t>
  </si>
  <si>
    <t>Inference Entries</t>
  </si>
  <si>
    <t>Prompt Tokens</t>
  </si>
  <si>
    <t>Completion Tokens</t>
  </si>
  <si>
    <t>Key Log Evidence</t>
  </si>
  <si>
    <t>Input Rate USD/1M</t>
  </si>
  <si>
    <t>Output Rate USD/1M</t>
  </si>
  <si>
    <t>Input Cost USD</t>
  </si>
  <si>
    <t>Output Cost USD</t>
  </si>
  <si>
    <t>Total Scan Cost USD</t>
  </si>
  <si>
    <t>Pricing Basis / Source</t>
  </si>
  <si>
    <t>Cost Note</t>
  </si>
  <si>
    <t>DEBUG [skillspector.nodes.meta_analyzer] Meta-analyzer: 1 files -&gt; 1 batches (model=gemini-3.1-flash-lite)
DEBUG [skillspector.nodes.meta_analyzer] LLM filtering done: 2 findings -&gt; 0 after filter</t>
  </si>
  <si>
    <t>Google Gemini API paid Standard text rates: gemini-3.1-flash-lite input $0.25/M, output $1.50/M. Source: https://ai.google.dev/gemini-api/docs/pricing</t>
  </si>
  <si>
    <t>Estimated from report token counts. Excludes free-tier credits, cache/batch/priority discounts, taxes, and non-token provider charges unless already reflected in tokens.</t>
  </si>
  <si>
    <t>DEBUG [skillspector.nodes.meta_analyzer] Meta-analyzer: 1 files -&gt; 1 batches (model=claude-haiku-4-5-20251001)
DEBUG [skillspector.nodes.meta_analyzer] LLM filtering done: 2 findings -&gt; 0 after filter</t>
  </si>
  <si>
    <t>Anthropic Claude API standard pricing: Claude Haiku 4.5 input $1/M, output $5/M. Source: https://platform.claude.com/docs/en/about-claude/pricing</t>
  </si>
  <si>
    <t>DEBUG [skillspector.nodes.meta_analyzer] Meta-analyzer: 1 files -&gt; 1 batches (model=claude-sonnet-4-5)
DEBUG [skillspector.nodes.meta_analyzer] LLM filtering done: 2 findings -&gt; 0 after filter</t>
  </si>
  <si>
    <t>Anthropic Claude API standard pricing: Claude Sonnet 4.5 input $3/M, output $15/M. Source: https://platform.claude.com/docs/en/about-claude/pricing</t>
  </si>
  <si>
    <t>Whole Scan Cost Summary</t>
  </si>
  <si>
    <t>Estimated Input Cost USD</t>
  </si>
  <si>
    <t>Estimated Output Cost USD</t>
  </si>
  <si>
    <t>Estimated Total Cost USD</t>
  </si>
  <si>
    <t>Grand Total</t>
  </si>
  <si>
    <t>Dimension</t>
  </si>
  <si>
    <t>Factor</t>
  </si>
  <si>
    <t>Observed Result</t>
  </si>
  <si>
    <t>Status Why?</t>
  </si>
  <si>
    <t>Confidence Why?</t>
  </si>
  <si>
    <t>Impact / Finding</t>
  </si>
  <si>
    <t>Skill Source</t>
  </si>
  <si>
    <t>Skill package contents</t>
  </si>
  <si>
    <t>The attached skill package contains exactly two files: SKILL.md and LICENSE.txt.</t>
  </si>
  <si>
    <t>PASS</t>
  </si>
  <si>
    <t>Observed skill file list is directly confirmed from the attached ZIP.</t>
  </si>
  <si>
    <t>HIGH</t>
  </si>
  <si>
    <t>Direct file-system evidence from the uploaded ZIP.</t>
  </si>
  <si>
    <t>Baseline target is simple: one skill markdown file plus license text.</t>
  </si>
  <si>
    <t>Scan Coverage</t>
  </si>
  <si>
    <t>Component discovery</t>
  </si>
  <si>
    <t>All three reports list two components: LICENSE.txt and SKILL.md.</t>
  </si>
  <si>
    <t>Component list exactly matches supplied skill files.</t>
  </si>
  <si>
    <t>Confirmed in all report JSONs and by ZIP extraction.</t>
  </si>
  <si>
    <t>No component mismatch observed.</t>
  </si>
  <si>
    <t>Inspection completeness</t>
  </si>
  <si>
    <t>All reports show total_components=2, scanned_components=2, coverage_percent=100.0, fully_inspected_files=2, partial=0, uninspected=0.</t>
  </si>
  <si>
    <t>Every supplied report records complete coverage.</t>
  </si>
  <si>
    <t>Direct numeric fields from all report JSONs.</t>
  </si>
  <si>
    <t>Coverage is stable across scanned model runs.</t>
  </si>
  <si>
    <t>Build Context</t>
  </si>
  <si>
    <t>Executable classification</t>
  </si>
  <si>
    <t>Reports mark has_executable_scripts=False; components mark executable=False for both files; skill ZIP contains no script files.</t>
  </si>
  <si>
    <t>No executable file is present in the attached skill package.</t>
  </si>
  <si>
    <t>Supported by report fields and skill package contents.</t>
  </si>
  <si>
    <t>Behavioral code analysis is expected to be not applicable.</t>
  </si>
  <si>
    <t>Static Analysis</t>
  </si>
  <si>
    <t>Static pattern execution</t>
  </si>
  <si>
    <t>Static analyzers completed with planned_work=2 and completed=2 in each report; static_yara also completed.</t>
  </si>
  <si>
    <t>Static analyzer work is accounted for in every supplied report.</t>
  </si>
  <si>
    <t>Repeated consistently across the three reports.</t>
  </si>
  <si>
    <t>No active static findings remained after filtering.</t>
  </si>
  <si>
    <t>Behavioral Analysis</t>
  </si>
  <si>
    <t>AST and taint applicability</t>
  </si>
  <si>
    <t>behavioral_ast and behavioral_taint_tracking are reported as not_applicable with reason_code=no_applicable_files.</t>
  </si>
  <si>
    <t>NOT APPLICABLE</t>
  </si>
  <si>
    <t>Not applicable is supported by both analyzer statuses and the actual skill file list.</t>
  </si>
  <si>
    <t>Both report and skill evidence agree.</t>
  </si>
  <si>
    <t>No behavioral finding should be inferred from not_applicable status.</t>
  </si>
  <si>
    <t>MCP Analysis</t>
  </si>
  <si>
    <t>MCP analyzer execution</t>
  </si>
  <si>
    <t>mcp_rug_pull and mcp_tool_poisoning completed; mcp_least_privilege is not_applicable with no_applicable_files/no executable files noted in logs.</t>
  </si>
  <si>
    <t>MCP execution/non-applicability is recorded and log-supported.</t>
  </si>
  <si>
    <t>Found in each report/log pair.</t>
  </si>
  <si>
    <t>No MCP active issues were reported.</t>
  </si>
  <si>
    <t>LLM Semantic Analysis</t>
  </si>
  <si>
    <t>Semantic analyzer execution</t>
  </si>
  <si>
    <t>semantic_developer_intent, semantic_quality_policy, and semantic_security_discovery completed with planned_work=2 and completed=2 in every report.</t>
  </si>
  <si>
    <t>All three semantic analyzers completed their reported work.</t>
  </si>
  <si>
    <t>Direct evidence exists in all reports.</t>
  </si>
  <si>
    <t>LLM semantic layer executed for all supplied model runs.</t>
  </si>
  <si>
    <t>Meta Analysis</t>
  </si>
  <si>
    <t>Filtering behavior</t>
  </si>
  <si>
    <t>Each report shows findings_before_filtering=2 and findings_after_filtering=0; logs say LLM filtering done: 2 findings -&gt; 0 after filter.</t>
  </si>
  <si>
    <t>Report fields and logs align for the filtering result.</t>
  </si>
  <si>
    <t>All mapped logs include the same filtering event.</t>
  </si>
  <si>
    <t>Important: zero active issues resulted after filtering, not necessarily zero preliminary observations.</t>
  </si>
  <si>
    <t>Findings</t>
  </si>
  <si>
    <t>Active issue reporting</t>
  </si>
  <si>
    <t>All three report JSON files have issues=[] and findings_after_filtering=0.</t>
  </si>
  <si>
    <t>SkillSpector reported zero active issues in all scans.</t>
  </si>
  <si>
    <t>Direct list/count evidence from reports.</t>
  </si>
  <si>
    <t>Do not convert this into an independent claim that the skill is risk-free.</t>
  </si>
  <si>
    <t>Scoring</t>
  </si>
  <si>
    <t>Risk score consistency</t>
  </si>
  <si>
    <t>All reports record score=0, severity=LOW, recommendation=SAFE.</t>
  </si>
  <si>
    <t>Scoring output is consistent across supplied reports.</t>
  </si>
  <si>
    <t>Direct fields from all reports.</t>
  </si>
  <si>
    <t>Independent score recalculation is unnecessary here because there are no active findings; still, this is reported output, not external validation.</t>
  </si>
  <si>
    <t>Logs vs Reports</t>
  </si>
  <si>
    <t>Log-to-report mapping</t>
  </si>
  <si>
    <t>All three logs map to one report each using report saved paths and/or model names.</t>
  </si>
  <si>
    <t>Every supplied report has a mapped log.</t>
  </si>
  <si>
    <t>Mapping supported by saved output paths and model names.</t>
  </si>
  <si>
    <t>Log evidence can be used for all three scan runs.</t>
  </si>
  <si>
    <t>Execution Robustness</t>
  </si>
  <si>
    <t>Runtime errors</t>
  </si>
  <si>
    <t>All mapped logs have zero ERROR lines and include Report generated lines.</t>
  </si>
  <si>
    <t>No runtime ERROR line appears in supplied logs.</t>
  </si>
  <si>
    <t>Direct log line count evidence.</t>
  </si>
  <si>
    <t>Warnings exist but did not prevent report generation.</t>
  </si>
  <si>
    <t>LLM Behavior</t>
  </si>
  <si>
    <t>Model registry warnings</t>
  </si>
  <si>
    <t>Each log contains model_registry/token-limit fallback warnings for the requested model slots.</t>
  </si>
  <si>
    <t>This is a warning condition, not an execution failure in the supplied logs.</t>
  </si>
  <si>
    <t>The same warning pattern appears in all logs.</t>
  </si>
  <si>
    <t>Token budgeting may be inaccurate according to the log text.</t>
  </si>
  <si>
    <t>Cross-Model Comparison</t>
  </si>
  <si>
    <t>Model result stability</t>
  </si>
  <si>
    <t>Gemini 3.1 Flash Lite, Claude Haiku 4.5, and Claude Sonnet 4.5 all produced score=0, severity=LOW, recommendation=SAFE, issues=0, coverage=100%.</t>
  </si>
  <si>
    <t>No cross-model variation was observed in final report outputs.</t>
  </si>
  <si>
    <t>Every compared field is directly extracted from JSON reports.</t>
  </si>
  <si>
    <t>The academy-guide scan outputs are stable across the supplied model runs.</t>
  </si>
  <si>
    <t>Source Content Validation</t>
  </si>
  <si>
    <t>Skill instructions and external catalog URL</t>
  </si>
  <si>
    <t>SKILL.md instructs the assistant to recommend Claude Academy resources only on strong matches, never invent content, and fetch catalog JSON when warranted; SkillSpector reported no active issues.</t>
  </si>
  <si>
    <t>The content was reviewed, and reports produced no active issue; no false positive/negative label is assigned.</t>
  </si>
  <si>
    <t>MEDIUM</t>
  </si>
  <si>
    <t>Skill content summary is direct, but security correctness requires policy/code-level review beyond supplied scan outputs.</t>
  </si>
  <si>
    <t>Potential behavior is advisory/catalog-linking, not executable code execution.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</si>
</sst>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0000"/>
  </numFmts>
  <fonts count="3">
    <font>
      <sz val="11"/>
      <name val="Carlito"/>
    </font>
    <font>
      <sz val="10"/>
      <name val="Calibri"/>
    </font>
    <font>
      <b/>
      <sz val="10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E5E7EB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5">
    <xf numFmtId="0" fontId="0" fillId="0" borderId="0" xfId="0" applyBorder="1"/>
    <xf numFmtId="0" fontId="1" fillId="0" borderId="1" xfId="0" applyFont="1" applyAlignment="1">
      <alignment horizontal="left" vertical="top" wrapText="1"/>
    </xf>
    <xf numFmtId="0" fontId="2" fillId="2" borderId="1" xfId="0" applyFont="1" applyFill="1" applyAlignment="1">
      <alignment horizontal="center" vertical="center" wrapText="1"/>
    </xf>
    <xf numFmtId="0" fontId="1" fillId="3" borderId="1" xfId="0" applyFont="1" applyFill="1" applyAlignment="1">
      <alignment horizontal="left" vertical="top" wrapText="1"/>
    </xf>
    <xf numFmtId="0" fontId="1" fillId="3" borderId="1" xfId="0" applyFont="1" applyFill="1" applyAlignment="1">
      <alignment horizontal="center" vertical="top" wrapText="1"/>
    </xf>
    <xf numFmtId="0" fontId="1" fillId="0" borderId="1" xfId="0" applyFont="1" applyAlignment="1">
      <alignment horizontal="center" vertical="top" wrapText="1"/>
    </xf>
    <xf numFmtId="0" fontId="1" fillId="4" borderId="1" xfId="0" applyFont="1" applyFill="1" applyAlignment="1">
      <alignment horizontal="center" vertical="top" wrapText="1"/>
    </xf>
    <xf numFmtId="0" fontId="1" fillId="5" borderId="1" xfId="0" applyFont="1" applyFill="1" applyAlignment="1">
      <alignment horizontal="center" vertical="top" wrapText="1"/>
    </xf>
    <xf numFmtId="0" fontId="1" fillId="6" borderId="1" xfId="0" applyFont="1" applyFill="1" applyAlignment="1">
      <alignment horizontal="center" vertical="top" wrapText="1"/>
    </xf>
    <xf numFmtId="0" fontId="1" fillId="7" borderId="1" xfId="0" applyFont="1" applyFill="1" applyAlignment="1">
      <alignment horizontal="center" vertical="top" wrapText="1"/>
    </xf>
    <xf numFmtId="2" fontId="1" fillId="3" borderId="1" xfId="0" applyNumberFormat="1" applyFont="1" applyFill="1" applyAlignment="1">
      <alignment horizontal="left" vertical="top" wrapText="1"/>
    </xf>
    <xf numFmtId="164" fontId="1" fillId="3" borderId="1" xfId="0" applyNumberFormat="1" applyFont="1" applyFill="1" applyAlignment="1">
      <alignment horizontal="left" vertical="top" wrapText="1"/>
    </xf>
    <xf numFmtId="1" fontId="1" fillId="3" borderId="1" xfId="0" applyNumberFormat="1" applyFont="1" applyFill="1" applyAlignment="1">
      <alignment horizontal="left" vertical="top" wrapText="1"/>
    </xf>
    <xf numFmtId="0" fontId="2" fillId="2" borderId="1" xfId="0" applyFont="1" applyFill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anInventoryTable" displayName="ScanInventoryTable" ref="A1:R4" totalsRowShown="0">
  <tableColumns count="18">
    <tableColumn id="1" xr3:uid="{00000000-0010-0000-0000-000001000000}" name="Run ID"/>
    <tableColumn id="2" xr3:uid="{00000000-0010-0000-0000-000002000000}" name="Report JSON"/>
    <tableColumn id="8" xr3:uid="{00000000-0010-0000-0000-000008000000}" name="Model"/>
    <tableColumn id="10" xr3:uid="{00000000-0010-0000-0000-00000A000000}" name="LLM Called"/>
    <tableColumn id="13" xr3:uid="{00000000-0010-0000-0000-00000D000000}" name="LLM Calls Succeeded"/>
    <tableColumn id="14" xr3:uid="{00000000-0010-0000-0000-00000E000000}" name="Inference Usage Entries"/>
    <tableColumn id="16" xr3:uid="{00000000-0010-0000-0000-000010000000}" name="Execution Successful"/>
    <tableColumn id="17" xr3:uid="{00000000-0010-0000-0000-000011000000}" name="Total Components"/>
    <tableColumn id="18" xr3:uid="{00000000-0010-0000-0000-000012000000}" name="Scanned Components"/>
    <tableColumn id="19" xr3:uid="{00000000-0010-0000-0000-000013000000}" name="Coverage %"/>
    <tableColumn id="21" xr3:uid="{00000000-0010-0000-0000-000015000000}" name="Fully Inspected"/>
    <tableColumn id="26" xr3:uid="{00000000-0010-0000-0000-00001A000000}" name="Findings Before Filter"/>
    <tableColumn id="27" xr3:uid="{00000000-0010-0000-0000-00001B000000}" name="Findings After Filter"/>
    <tableColumn id="28" xr3:uid="{00000000-0010-0000-0000-00001C000000}" name="Issues Count"/>
    <tableColumn id="29" xr3:uid="{00000000-0010-0000-0000-00001D000000}" name="Score"/>
    <tableColumn id="30" xr3:uid="{00000000-0010-0000-0000-00001E000000}" name="Severity"/>
    <tableColumn id="31" xr3:uid="{00000000-0010-0000-0000-00001F000000}" name="Recommendation"/>
    <tableColumn id="32" xr3:uid="{00000000-0010-0000-0000-000020000000}" name="Evidence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FindingsComparisonTable" displayName="FindingsComparisonTable" ref="A1:H4" totalsRowShown="0">
  <tableColumns count="8">
    <tableColumn id="1" xr3:uid="{00000000-0010-0000-0100-000001000000}" name="Run ID"/>
    <tableColumn id="2" xr3:uid="{00000000-0010-0000-0100-000002000000}" name="Report JSON"/>
    <tableColumn id="3" xr3:uid="{00000000-0010-0000-0100-000003000000}" name="Mapped Log"/>
    <tableColumn id="4" xr3:uid="{00000000-0010-0000-0100-000004000000}" name="Model"/>
    <tableColumn id="5" xr3:uid="{00000000-0010-0000-0100-000005000000}" name="Finding ID"/>
    <tableColumn id="6" xr3:uid="{00000000-0010-0000-0100-000006000000}" name="Category"/>
    <tableColumn id="7" xr3:uid="{00000000-0010-0000-0100-000007000000}" name="Severity"/>
    <tableColumn id="11" xr3:uid="{00000000-0010-0000-0100-00000B000000}" name="Report Evi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LLMBehaviorTable" displayName="LLMBehaviorTable" ref="A1:L4" totalsRowShown="0">
  <tableColumns count="12">
    <tableColumn id="1" xr3:uid="{00000000-0010-0000-0200-000001000000}" name="Run ID"/>
    <tableColumn id="2" xr3:uid="{00000000-0010-0000-0200-000002000000}" name="Report JSON"/>
    <tableColumn id="5" xr3:uid="{00000000-0010-0000-0200-000005000000}" name="Model"/>
    <tableColumn id="7" xr3:uid="{00000000-0010-0000-0200-000007000000}" name="LLM Available"/>
    <tableColumn id="8" xr3:uid="{00000000-0010-0000-0200-000008000000}" name="Meta Analysis Applied"/>
    <tableColumn id="9" xr3:uid="{00000000-0010-0000-0200-000009000000}" name="Calls Attempted"/>
    <tableColumn id="10" xr3:uid="{00000000-0010-0000-0200-00000A000000}" name="Calls Succeeded"/>
    <tableColumn id="11" xr3:uid="{00000000-0010-0000-0200-00000B000000}" name="Inference Entries"/>
    <tableColumn id="12" xr3:uid="{00000000-0010-0000-0200-00000C000000}" name="Prompt Tokens"/>
    <tableColumn id="13" xr3:uid="{00000000-0010-0000-0200-00000D000000}" name="Completion Tokens"/>
    <tableColumn id="14" xr3:uid="{00000000-0010-0000-0200-00000E000000}" name="Total Tokens"/>
    <tableColumn id="19" xr3:uid="{00000000-0010-0000-0200-000013000000}" name="Key Log Evid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MasterEvaluationTable" displayName="MasterEvaluationTable" ref="A1:H17" totalsRowShown="0">
  <tableColumns count="8">
    <tableColumn id="1" xr3:uid="{00000000-0010-0000-0300-000001000000}" name="Dimension"/>
    <tableColumn id="2" xr3:uid="{00000000-0010-0000-0300-000002000000}" name="Factor"/>
    <tableColumn id="4" xr3:uid="{00000000-0010-0000-0300-000004000000}" name="Observed Result"/>
    <tableColumn id="9" xr3:uid="{00000000-0010-0000-0300-000009000000}" name="Status"/>
    <tableColumn id="10" xr3:uid="{00000000-0010-0000-0300-00000A000000}" name="Status Why?"/>
    <tableColumn id="11" xr3:uid="{00000000-0010-0000-0300-00000B000000}" name="Confidence"/>
    <tableColumn id="12" xr3:uid="{00000000-0010-0000-0300-00000C000000}" name="Confidence Why?"/>
    <tableColumn id="13" xr3:uid="{00000000-0010-0000-0300-00000D000000}" name="Impact / Find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workbookViewId="0">
      <selection activeCell="H4" sqref="H4"/>
    </sheetView>
  </sheetViews>
  <sheetFormatPr defaultRowHeight="14"/>
  <cols>
    <col min="1" max="1" width="10" customWidth="1"/>
    <col min="2" max="2" width="30.25" customWidth="1"/>
    <col min="3" max="3" width="34" hidden="1" customWidth="1"/>
    <col min="4" max="4" width="14" customWidth="1"/>
    <col min="5" max="7" width="16" customWidth="1"/>
    <col min="8" max="8" width="15" customWidth="1"/>
    <col min="9" max="9" width="16" customWidth="1"/>
    <col min="10" max="10" width="12" customWidth="1"/>
    <col min="11" max="11" width="14" customWidth="1"/>
    <col min="12" max="13" width="16" hidden="1" customWidth="1"/>
    <col min="14" max="14" width="12" customWidth="1"/>
    <col min="15" max="15" width="10" customWidth="1"/>
    <col min="16" max="16" width="12" customWidth="1"/>
    <col min="17" max="17" width="18" customWidth="1"/>
    <col min="18" max="18" width="55" customWidth="1"/>
  </cols>
  <sheetData>
    <row r="1" spans="1:18" ht="28" customHeight="1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</row>
    <row r="2" spans="1:18" ht="40.65" customHeight="1">
      <c r="A2" s="4" t="s">
        <v>20</v>
      </c>
      <c r="B2" s="3" t="s">
        <v>21</v>
      </c>
      <c r="C2" s="3" t="s">
        <v>23</v>
      </c>
      <c r="D2" s="4" t="s">
        <v>24</v>
      </c>
      <c r="E2" s="3">
        <v>4</v>
      </c>
      <c r="F2" s="3">
        <v>7</v>
      </c>
      <c r="G2" s="4" t="s">
        <v>24</v>
      </c>
      <c r="H2" s="3">
        <v>2</v>
      </c>
      <c r="I2" s="3">
        <v>2</v>
      </c>
      <c r="J2" s="4">
        <v>100</v>
      </c>
      <c r="K2" s="3">
        <v>2</v>
      </c>
      <c r="L2" s="3">
        <v>2</v>
      </c>
      <c r="M2" s="3">
        <v>0</v>
      </c>
      <c r="N2" s="4">
        <v>0</v>
      </c>
      <c r="O2" s="4">
        <v>0</v>
      </c>
      <c r="P2" s="6" t="s">
        <v>25</v>
      </c>
      <c r="Q2" s="3" t="s">
        <v>26</v>
      </c>
      <c r="R2" s="3" t="s">
        <v>27</v>
      </c>
    </row>
    <row r="3" spans="1:18" ht="40.65" customHeight="1">
      <c r="A3" s="5" t="s">
        <v>28</v>
      </c>
      <c r="B3" s="1" t="s">
        <v>29</v>
      </c>
      <c r="C3" s="1" t="s">
        <v>31</v>
      </c>
      <c r="D3" s="5" t="s">
        <v>24</v>
      </c>
      <c r="E3" s="1">
        <v>4</v>
      </c>
      <c r="F3" s="1">
        <v>7</v>
      </c>
      <c r="G3" s="5" t="s">
        <v>24</v>
      </c>
      <c r="H3" s="1">
        <v>2</v>
      </c>
      <c r="I3" s="1">
        <v>2</v>
      </c>
      <c r="J3" s="5">
        <v>100</v>
      </c>
      <c r="K3" s="1">
        <v>2</v>
      </c>
      <c r="L3" s="1">
        <v>2</v>
      </c>
      <c r="M3" s="1">
        <v>0</v>
      </c>
      <c r="N3" s="5">
        <v>0</v>
      </c>
      <c r="O3" s="5">
        <v>0</v>
      </c>
      <c r="P3" s="6" t="s">
        <v>25</v>
      </c>
      <c r="Q3" s="1" t="s">
        <v>26</v>
      </c>
      <c r="R3" s="1" t="s">
        <v>27</v>
      </c>
    </row>
    <row r="4" spans="1:18" ht="40.65" customHeight="1">
      <c r="A4" s="4" t="s">
        <v>32</v>
      </c>
      <c r="B4" s="3" t="s">
        <v>33</v>
      </c>
      <c r="C4" s="3" t="s">
        <v>35</v>
      </c>
      <c r="D4" s="4" t="s">
        <v>24</v>
      </c>
      <c r="E4" s="3">
        <v>4</v>
      </c>
      <c r="F4" s="3">
        <v>7</v>
      </c>
      <c r="G4" s="4" t="s">
        <v>24</v>
      </c>
      <c r="H4" s="3">
        <v>2</v>
      </c>
      <c r="I4" s="3">
        <v>2</v>
      </c>
      <c r="J4" s="4">
        <v>100</v>
      </c>
      <c r="K4" s="3">
        <v>2</v>
      </c>
      <c r="L4" s="3">
        <v>2</v>
      </c>
      <c r="M4" s="3">
        <v>0</v>
      </c>
      <c r="N4" s="4">
        <v>0</v>
      </c>
      <c r="O4" s="4">
        <v>0</v>
      </c>
      <c r="P4" s="6" t="s">
        <v>25</v>
      </c>
      <c r="Q4" s="3" t="s">
        <v>26</v>
      </c>
      <c r="R4" s="3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6"/>
  <sheetViews>
    <sheetView topLeftCell="C1" workbookViewId="0">
      <selection activeCell="F2" sqref="F2"/>
    </sheetView>
  </sheetViews>
  <sheetFormatPr defaultRowHeight="14"/>
  <cols>
    <col min="1" max="1" width="20" customWidth="1"/>
    <col min="2" max="3" width="34" customWidth="1"/>
    <col min="4" max="5" width="28" customWidth="1"/>
    <col min="6" max="6" width="60" customWidth="1"/>
    <col min="7" max="15" width="3" customWidth="1"/>
  </cols>
  <sheetData>
    <row r="1" spans="1:15" ht="34" customHeight="1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/>
      <c r="H1" s="2"/>
      <c r="I1" s="2"/>
      <c r="J1" s="2"/>
      <c r="K1" s="2"/>
      <c r="L1" s="2"/>
      <c r="M1" s="2"/>
      <c r="N1" s="2"/>
      <c r="O1" s="2"/>
    </row>
    <row r="2" spans="1:15" ht="90" customHeight="1">
      <c r="A2" s="3" t="s">
        <v>42</v>
      </c>
      <c r="B2" s="3" t="s">
        <v>43</v>
      </c>
      <c r="C2" s="3" t="s">
        <v>44</v>
      </c>
      <c r="D2" s="3" t="s">
        <v>44</v>
      </c>
      <c r="E2" s="3" t="s">
        <v>44</v>
      </c>
      <c r="F2" s="3" t="s">
        <v>45</v>
      </c>
      <c r="G2" s="4"/>
      <c r="H2" s="4"/>
      <c r="I2" s="4"/>
      <c r="J2" s="4"/>
      <c r="K2" s="3"/>
      <c r="L2" s="3"/>
      <c r="M2" s="3"/>
      <c r="N2" s="3"/>
      <c r="O2" s="3"/>
    </row>
    <row r="3" spans="1:15" ht="90" customHeight="1">
      <c r="A3" s="1" t="s">
        <v>46</v>
      </c>
      <c r="B3" s="1" t="s">
        <v>47</v>
      </c>
      <c r="C3" s="1" t="s">
        <v>48</v>
      </c>
      <c r="D3" s="1" t="s">
        <v>49</v>
      </c>
      <c r="E3" s="1" t="s">
        <v>49</v>
      </c>
      <c r="F3" s="1" t="s">
        <v>50</v>
      </c>
      <c r="G3" s="5"/>
      <c r="H3" s="5"/>
      <c r="I3" s="5"/>
      <c r="J3" s="5"/>
      <c r="K3" s="1"/>
      <c r="L3" s="1"/>
      <c r="M3" s="1"/>
      <c r="N3" s="1"/>
      <c r="O3" s="1"/>
    </row>
    <row r="4" spans="1:15" ht="90" customHeight="1">
      <c r="A4" s="3" t="s">
        <v>51</v>
      </c>
      <c r="B4" s="3" t="s">
        <v>52</v>
      </c>
      <c r="C4" s="3" t="s">
        <v>53</v>
      </c>
      <c r="D4" s="3" t="s">
        <v>53</v>
      </c>
      <c r="E4" s="3" t="s">
        <v>53</v>
      </c>
      <c r="F4" s="3" t="s">
        <v>54</v>
      </c>
      <c r="G4" s="4"/>
      <c r="H4" s="4"/>
      <c r="I4" s="4"/>
      <c r="J4" s="4"/>
      <c r="K4" s="3"/>
      <c r="L4" s="3"/>
      <c r="M4" s="3"/>
      <c r="N4" s="3"/>
      <c r="O4" s="3"/>
    </row>
    <row r="5" spans="1:15" ht="90" customHeight="1">
      <c r="A5" s="1" t="s">
        <v>55</v>
      </c>
      <c r="B5" s="1" t="s">
        <v>56</v>
      </c>
      <c r="C5" s="1" t="s">
        <v>57</v>
      </c>
      <c r="D5" s="1" t="s">
        <v>57</v>
      </c>
      <c r="E5" s="1" t="s">
        <v>57</v>
      </c>
      <c r="F5" s="1" t="s">
        <v>58</v>
      </c>
      <c r="G5" s="5"/>
      <c r="H5" s="5"/>
      <c r="I5" s="5"/>
      <c r="J5" s="5"/>
      <c r="K5" s="1"/>
      <c r="L5" s="1"/>
      <c r="M5" s="1"/>
      <c r="N5" s="1"/>
      <c r="O5" s="1"/>
    </row>
    <row r="6" spans="1:15" ht="90" customHeight="1">
      <c r="A6" s="3" t="s">
        <v>59</v>
      </c>
      <c r="B6" s="3" t="s">
        <v>60</v>
      </c>
      <c r="C6" s="3" t="s">
        <v>61</v>
      </c>
      <c r="D6" s="3" t="s">
        <v>61</v>
      </c>
      <c r="E6" s="3" t="s">
        <v>61</v>
      </c>
      <c r="F6" s="3" t="s">
        <v>62</v>
      </c>
      <c r="G6" s="4"/>
      <c r="H6" s="4"/>
      <c r="I6" s="4"/>
      <c r="J6" s="4"/>
      <c r="K6" s="3"/>
      <c r="L6" s="3"/>
      <c r="M6" s="3"/>
      <c r="N6" s="3"/>
      <c r="O6" s="3"/>
    </row>
    <row r="7" spans="1:15" ht="40.65" customHeight="1"/>
    <row r="8" spans="1:15" ht="63.4" customHeight="1"/>
    <row r="9" spans="1:15" ht="63.4" customHeight="1"/>
    <row r="10" spans="1:15" ht="74.650000000000006" customHeight="1"/>
    <row r="11" spans="1:15" ht="29.4" customHeight="1"/>
    <row r="12" spans="1:15" ht="29.4" customHeight="1"/>
    <row r="13" spans="1:15" ht="29.4" customHeight="1"/>
    <row r="14" spans="1:15" ht="29.4" customHeight="1"/>
    <row r="15" spans="1:15" ht="29.4" customHeight="1"/>
    <row r="16" spans="1:15" ht="29.4" customHeight="1"/>
    <row r="17" ht="29.4" customHeight="1"/>
    <row r="18" ht="29.4" customHeight="1"/>
    <row r="19" ht="29.4" customHeight="1"/>
    <row r="20" ht="29.4" customHeight="1"/>
    <row r="21" ht="29.4" customHeight="1"/>
    <row r="22" ht="29.4" customHeight="1"/>
    <row r="23" ht="29.4" customHeight="1"/>
    <row r="24" ht="29.4" customHeight="1"/>
    <row r="25" ht="29.4" customHeight="1"/>
    <row r="26" ht="40.65" customHeight="1"/>
    <row r="27" ht="29.4" customHeight="1"/>
    <row r="28" ht="29.4" customHeight="1"/>
    <row r="29" ht="74.650000000000006" customHeight="1"/>
    <row r="30" ht="40.65" customHeight="1"/>
    <row r="31" ht="63.4" customHeight="1"/>
    <row r="32" ht="40.65" customHeight="1"/>
    <row r="33" ht="74.650000000000006" customHeight="1"/>
    <row r="34" ht="63.4" customHeight="1"/>
    <row r="35" ht="74.650000000000006" customHeight="1"/>
    <row r="36" ht="29.4" customHeight="1"/>
    <row r="37" ht="29.4" customHeight="1"/>
    <row r="38" ht="29.4" customHeight="1"/>
    <row r="39" ht="29.4" customHeight="1"/>
    <row r="40" ht="29.4" customHeight="1"/>
    <row r="41" ht="29.4" customHeight="1"/>
    <row r="42" ht="29.4" customHeight="1"/>
    <row r="43" ht="29.4" customHeight="1"/>
    <row r="44" ht="29.4" customHeight="1"/>
    <row r="45" ht="29.4" customHeight="1"/>
    <row r="46" ht="29.4" customHeight="1"/>
    <row r="47" ht="29.4" customHeight="1"/>
    <row r="48" ht="29.4" customHeight="1"/>
    <row r="49" ht="29.4" customHeight="1"/>
    <row r="50" ht="29.4" customHeight="1"/>
    <row r="51" ht="40.65" customHeight="1"/>
    <row r="52" ht="29.4" customHeight="1"/>
    <row r="53" ht="29.4" customHeight="1"/>
    <row r="54" ht="63.4" customHeight="1"/>
    <row r="55" ht="40.65" customHeight="1"/>
    <row r="56" ht="63.4" customHeight="1"/>
    <row r="57" ht="40.65" customHeight="1"/>
    <row r="58" ht="63.4" customHeight="1"/>
    <row r="59" ht="63.4" customHeight="1"/>
    <row r="60" ht="63.4" customHeight="1"/>
    <row r="61" ht="29.4" customHeight="1"/>
    <row r="62" ht="29.4" customHeight="1"/>
    <row r="63" ht="29.4" customHeight="1"/>
    <row r="64" ht="29.4" customHeight="1"/>
    <row r="65" ht="29.4" customHeight="1"/>
    <row r="66" ht="29.4" customHeight="1"/>
    <row r="67" ht="29.4" customHeight="1"/>
    <row r="68" ht="29.4" customHeight="1"/>
    <row r="69" ht="29.4" customHeight="1"/>
    <row r="70" ht="29.4" customHeight="1"/>
    <row r="71" ht="29.4" customHeight="1"/>
    <row r="72" ht="29.4" customHeight="1"/>
    <row r="73" ht="29.4" customHeight="1"/>
    <row r="74" ht="29.4" customHeight="1"/>
    <row r="75" ht="29.4" customHeight="1"/>
    <row r="76" ht="40.65" customHeight="1"/>
  </sheetData>
  <autoFilter ref="A1:F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topLeftCell="B1" workbookViewId="0">
      <selection activeCell="B10" sqref="B10"/>
    </sheetView>
  </sheetViews>
  <sheetFormatPr defaultRowHeight="14"/>
  <cols>
    <col min="1" max="1" width="10" hidden="1" customWidth="1"/>
    <col min="2" max="2" width="42" customWidth="1"/>
    <col min="3" max="4" width="34" customWidth="1"/>
    <col min="5" max="6" width="30" customWidth="1"/>
    <col min="7" max="7" width="14" customWidth="1"/>
    <col min="8" max="8" width="55" customWidth="1"/>
  </cols>
  <sheetData>
    <row r="1" spans="1:8" ht="2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63</v>
      </c>
      <c r="F1" s="2" t="s">
        <v>64</v>
      </c>
      <c r="G1" s="2" t="s">
        <v>17</v>
      </c>
      <c r="H1" s="2" t="s">
        <v>66</v>
      </c>
    </row>
    <row r="2" spans="1:8" ht="29.4" customHeight="1">
      <c r="A2" s="4" t="s">
        <v>20</v>
      </c>
      <c r="B2" s="3" t="s">
        <v>21</v>
      </c>
      <c r="C2" s="3" t="s">
        <v>22</v>
      </c>
      <c r="D2" s="3" t="s">
        <v>23</v>
      </c>
      <c r="E2" s="3" t="s">
        <v>68</v>
      </c>
      <c r="F2" s="3" t="s">
        <v>69</v>
      </c>
      <c r="G2" s="6" t="s">
        <v>25</v>
      </c>
      <c r="H2" s="3" t="s">
        <v>70</v>
      </c>
    </row>
    <row r="3" spans="1:8" ht="29.4" customHeight="1">
      <c r="A3" s="5" t="s">
        <v>28</v>
      </c>
      <c r="B3" s="1" t="s">
        <v>29</v>
      </c>
      <c r="C3" s="1" t="s">
        <v>30</v>
      </c>
      <c r="D3" s="1" t="s">
        <v>31</v>
      </c>
      <c r="E3" s="1" t="s">
        <v>68</v>
      </c>
      <c r="F3" s="1" t="s">
        <v>69</v>
      </c>
      <c r="G3" s="6" t="s">
        <v>25</v>
      </c>
      <c r="H3" s="1" t="s">
        <v>70</v>
      </c>
    </row>
    <row r="4" spans="1:8" ht="29.4" customHeight="1">
      <c r="A4" s="4" t="s">
        <v>32</v>
      </c>
      <c r="B4" s="3" t="s">
        <v>33</v>
      </c>
      <c r="C4" s="3" t="s">
        <v>34</v>
      </c>
      <c r="D4" s="3" t="s">
        <v>35</v>
      </c>
      <c r="E4" s="3" t="s">
        <v>68</v>
      </c>
      <c r="F4" s="3" t="s">
        <v>69</v>
      </c>
      <c r="G4" s="6" t="s">
        <v>25</v>
      </c>
      <c r="H4" s="3" t="s">
        <v>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2"/>
  <sheetViews>
    <sheetView topLeftCell="B1" workbookViewId="0">
      <selection activeCell="C1" sqref="C1:C1048576"/>
    </sheetView>
  </sheetViews>
  <sheetFormatPr defaultRowHeight="14"/>
  <cols>
    <col min="1" max="1" width="10" hidden="1" customWidth="1"/>
    <col min="2" max="2" width="42" customWidth="1"/>
    <col min="3" max="3" width="34" hidden="1" customWidth="1"/>
    <col min="4" max="4" width="14" customWidth="1"/>
    <col min="5" max="5" width="16" customWidth="1"/>
    <col min="6" max="8" width="16" hidden="1" customWidth="1"/>
    <col min="9" max="10" width="16" customWidth="1"/>
    <col min="11" max="11" width="14" customWidth="1"/>
    <col min="12" max="12" width="70" customWidth="1"/>
    <col min="13" max="16" width="18" hidden="1" customWidth="1"/>
    <col min="17" max="17" width="20" hidden="1" customWidth="1"/>
    <col min="18" max="19" width="48" hidden="1" customWidth="1"/>
  </cols>
  <sheetData>
    <row r="1" spans="1:19" ht="28" customHeight="1">
      <c r="A1" s="2" t="s">
        <v>0</v>
      </c>
      <c r="B1" s="2" t="s">
        <v>1</v>
      </c>
      <c r="C1" s="2" t="s">
        <v>3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</row>
    <row r="2" spans="1:19" ht="52" customHeight="1">
      <c r="A2" s="4" t="s">
        <v>20</v>
      </c>
      <c r="B2" s="3" t="s">
        <v>21</v>
      </c>
      <c r="C2" s="3" t="s">
        <v>23</v>
      </c>
      <c r="D2" s="4" t="s">
        <v>24</v>
      </c>
      <c r="E2" s="3" t="s">
        <v>24</v>
      </c>
      <c r="F2" s="3">
        <v>4</v>
      </c>
      <c r="G2" s="3">
        <v>4</v>
      </c>
      <c r="H2" s="3">
        <v>7</v>
      </c>
      <c r="I2" s="3">
        <v>27404</v>
      </c>
      <c r="J2" s="3">
        <v>423</v>
      </c>
      <c r="K2" s="3">
        <v>27827</v>
      </c>
      <c r="L2" s="3" t="s">
        <v>87</v>
      </c>
      <c r="M2" s="10">
        <v>0.25</v>
      </c>
      <c r="N2" s="10">
        <v>1.5</v>
      </c>
      <c r="O2" s="11">
        <f>IF(OR(I2="",M2=""),"",I2*M2/1000000)</f>
        <v>6.8510000000000003E-3</v>
      </c>
      <c r="P2" s="11">
        <f>IF(OR(J2="",N2=""),"",J2*N2/1000000)</f>
        <v>6.3449999999999997E-4</v>
      </c>
      <c r="Q2" s="11">
        <f>IF(OR(O2="",P2=""),"",O2+P2)</f>
        <v>7.4855E-3</v>
      </c>
      <c r="R2" s="3" t="s">
        <v>88</v>
      </c>
      <c r="S2" s="3" t="s">
        <v>89</v>
      </c>
    </row>
    <row r="3" spans="1:19" ht="52" customHeight="1">
      <c r="A3" s="5" t="s">
        <v>28</v>
      </c>
      <c r="B3" s="1" t="s">
        <v>29</v>
      </c>
      <c r="C3" s="1" t="s">
        <v>31</v>
      </c>
      <c r="D3" s="5" t="s">
        <v>24</v>
      </c>
      <c r="E3" s="1" t="s">
        <v>24</v>
      </c>
      <c r="F3" s="1">
        <v>4</v>
      </c>
      <c r="G3" s="1">
        <v>4</v>
      </c>
      <c r="H3" s="1">
        <v>7</v>
      </c>
      <c r="I3" s="1">
        <v>33104</v>
      </c>
      <c r="J3" s="1">
        <v>657</v>
      </c>
      <c r="K3" s="1">
        <v>33761</v>
      </c>
      <c r="L3" s="1" t="s">
        <v>90</v>
      </c>
      <c r="M3" s="10">
        <v>1</v>
      </c>
      <c r="N3" s="10">
        <v>5</v>
      </c>
      <c r="O3" s="11">
        <f>IF(OR(I3="",M3=""),"",I3*M3/1000000)</f>
        <v>3.3104000000000001E-2</v>
      </c>
      <c r="P3" s="11">
        <f>IF(OR(J3="",N3=""),"",J3*N3/1000000)</f>
        <v>3.2850000000000002E-3</v>
      </c>
      <c r="Q3" s="11">
        <f>IF(OR(O3="",P3=""),"",O3+P3)</f>
        <v>3.6389000000000005E-2</v>
      </c>
      <c r="R3" s="3" t="s">
        <v>91</v>
      </c>
      <c r="S3" s="3" t="s">
        <v>89</v>
      </c>
    </row>
    <row r="4" spans="1:19" ht="52" customHeight="1">
      <c r="A4" s="4" t="s">
        <v>32</v>
      </c>
      <c r="B4" s="3" t="s">
        <v>33</v>
      </c>
      <c r="C4" s="3" t="s">
        <v>35</v>
      </c>
      <c r="D4" s="4" t="s">
        <v>24</v>
      </c>
      <c r="E4" s="3" t="s">
        <v>24</v>
      </c>
      <c r="F4" s="3">
        <v>4</v>
      </c>
      <c r="G4" s="3">
        <v>4</v>
      </c>
      <c r="H4" s="3">
        <v>7</v>
      </c>
      <c r="I4" s="3">
        <v>33104</v>
      </c>
      <c r="J4" s="3">
        <v>682</v>
      </c>
      <c r="K4" s="3">
        <v>33786</v>
      </c>
      <c r="L4" s="3" t="s">
        <v>92</v>
      </c>
      <c r="M4" s="10">
        <v>3</v>
      </c>
      <c r="N4" s="10">
        <v>15</v>
      </c>
      <c r="O4" s="11">
        <f>IF(OR(I4="",M4=""),"",I4*M4/1000000)</f>
        <v>9.9311999999999998E-2</v>
      </c>
      <c r="P4" s="11">
        <f>IF(OR(J4="",N4=""),"",J4*N4/1000000)</f>
        <v>1.023E-2</v>
      </c>
      <c r="Q4" s="11">
        <f>IF(OR(O4="",P4=""),"",O4+P4)</f>
        <v>0.109542</v>
      </c>
      <c r="R4" s="3" t="s">
        <v>93</v>
      </c>
      <c r="S4" s="3" t="s">
        <v>89</v>
      </c>
    </row>
    <row r="7" spans="1:19" ht="36" customHeight="1">
      <c r="M7" s="13" t="s">
        <v>94</v>
      </c>
      <c r="N7" s="14"/>
      <c r="O7" s="14"/>
      <c r="P7" s="14"/>
      <c r="Q7" s="14"/>
      <c r="R7" s="14"/>
      <c r="S7" s="14"/>
    </row>
    <row r="8" spans="1:19" ht="36" customHeight="1">
      <c r="M8" s="2" t="s">
        <v>0</v>
      </c>
      <c r="N8" s="2" t="s">
        <v>3</v>
      </c>
      <c r="O8" s="2" t="s">
        <v>77</v>
      </c>
      <c r="P8" s="2" t="s">
        <v>78</v>
      </c>
      <c r="Q8" s="2" t="s">
        <v>95</v>
      </c>
      <c r="R8" s="2" t="s">
        <v>96</v>
      </c>
      <c r="S8" s="2" t="s">
        <v>97</v>
      </c>
    </row>
    <row r="9" spans="1:19" ht="42" customHeight="1">
      <c r="M9" s="3" t="str">
        <f>A2</f>
        <v>R1</v>
      </c>
      <c r="N9" s="3" t="str">
        <f>C2</f>
        <v>gemini-3.1-flash-lite</v>
      </c>
      <c r="O9" s="12">
        <f>I2</f>
        <v>27404</v>
      </c>
      <c r="P9" s="12">
        <f>J2</f>
        <v>423</v>
      </c>
      <c r="Q9" s="11">
        <f t="shared" ref="Q9:S11" si="0">O2</f>
        <v>6.8510000000000003E-3</v>
      </c>
      <c r="R9" s="11">
        <f t="shared" si="0"/>
        <v>6.3449999999999997E-4</v>
      </c>
      <c r="S9" s="11">
        <f t="shared" si="0"/>
        <v>7.4855E-3</v>
      </c>
    </row>
    <row r="10" spans="1:19" ht="42" customHeight="1">
      <c r="M10" s="3" t="str">
        <f>A3</f>
        <v>R2</v>
      </c>
      <c r="N10" s="3" t="str">
        <f>C3</f>
        <v>claude-haiku-4-5-20251001</v>
      </c>
      <c r="O10" s="12">
        <f>I3</f>
        <v>33104</v>
      </c>
      <c r="P10" s="12">
        <f>J3</f>
        <v>657</v>
      </c>
      <c r="Q10" s="11">
        <f t="shared" si="0"/>
        <v>3.3104000000000001E-2</v>
      </c>
      <c r="R10" s="11">
        <f t="shared" si="0"/>
        <v>3.2850000000000002E-3</v>
      </c>
      <c r="S10" s="11">
        <f t="shared" si="0"/>
        <v>3.6389000000000005E-2</v>
      </c>
    </row>
    <row r="11" spans="1:19" ht="42" customHeight="1">
      <c r="M11" s="3" t="str">
        <f>A4</f>
        <v>R3</v>
      </c>
      <c r="N11" s="3" t="str">
        <f>C4</f>
        <v>claude-sonnet-4-5-20250929</v>
      </c>
      <c r="O11" s="12">
        <f>I4</f>
        <v>33104</v>
      </c>
      <c r="P11" s="12">
        <f>J4</f>
        <v>682</v>
      </c>
      <c r="Q11" s="11">
        <f t="shared" si="0"/>
        <v>9.9311999999999998E-2</v>
      </c>
      <c r="R11" s="11">
        <f t="shared" si="0"/>
        <v>1.023E-2</v>
      </c>
      <c r="S11" s="11">
        <f t="shared" si="0"/>
        <v>0.109542</v>
      </c>
    </row>
    <row r="12" spans="1:19" ht="42" customHeight="1">
      <c r="M12" s="3" t="s">
        <v>98</v>
      </c>
      <c r="N12" s="3"/>
      <c r="O12" s="12">
        <f>SUM(O9:O11)</f>
        <v>93612</v>
      </c>
      <c r="P12" s="12">
        <f>SUM(P9:P11)</f>
        <v>1762</v>
      </c>
      <c r="Q12" s="11">
        <f>SUM(Q9:Q11)</f>
        <v>0.139267</v>
      </c>
      <c r="R12" s="11">
        <f>SUM(R9:R11)</f>
        <v>1.4149499999999999E-2</v>
      </c>
      <c r="S12" s="11">
        <f>SUM(S9:S11)</f>
        <v>0.15341650000000001</v>
      </c>
    </row>
  </sheetData>
  <mergeCells count="1">
    <mergeCell ref="M7:S7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tabSelected="1" topLeftCell="A8" workbookViewId="0">
      <selection activeCell="G1" sqref="G1:G1048576"/>
    </sheetView>
  </sheetViews>
  <sheetFormatPr defaultRowHeight="14"/>
  <cols>
    <col min="1" max="1" width="22" customWidth="1"/>
    <col min="2" max="2" width="30" customWidth="1"/>
    <col min="3" max="3" width="48" customWidth="1"/>
    <col min="4" max="4" width="16" customWidth="1"/>
    <col min="5" max="5" width="44" customWidth="1"/>
    <col min="6" max="6" width="14" customWidth="1"/>
    <col min="7" max="7" width="42" hidden="1" customWidth="1"/>
    <col min="8" max="8" width="55" customWidth="1"/>
  </cols>
  <sheetData>
    <row r="1" spans="1:8" ht="28" customHeight="1">
      <c r="A1" s="2" t="s">
        <v>99</v>
      </c>
      <c r="B1" s="2" t="s">
        <v>100</v>
      </c>
      <c r="C1" s="2" t="s">
        <v>101</v>
      </c>
      <c r="D1" s="2" t="s">
        <v>67</v>
      </c>
      <c r="E1" s="2" t="s">
        <v>102</v>
      </c>
      <c r="F1" s="2" t="s">
        <v>65</v>
      </c>
      <c r="G1" s="2" t="s">
        <v>103</v>
      </c>
      <c r="H1" s="2" t="s">
        <v>104</v>
      </c>
    </row>
    <row r="2" spans="1:8" ht="29.4" customHeight="1">
      <c r="A2" s="3" t="s">
        <v>105</v>
      </c>
      <c r="B2" s="3" t="s">
        <v>106</v>
      </c>
      <c r="C2" s="3" t="s">
        <v>107</v>
      </c>
      <c r="D2" s="6" t="s">
        <v>108</v>
      </c>
      <c r="E2" s="3" t="s">
        <v>109</v>
      </c>
      <c r="F2" s="6" t="s">
        <v>110</v>
      </c>
      <c r="G2" s="3" t="s">
        <v>111</v>
      </c>
      <c r="H2" s="3" t="s">
        <v>112</v>
      </c>
    </row>
    <row r="3" spans="1:8" ht="52" customHeight="1">
      <c r="A3" s="1" t="s">
        <v>113</v>
      </c>
      <c r="B3" s="1" t="s">
        <v>114</v>
      </c>
      <c r="C3" s="1" t="s">
        <v>115</v>
      </c>
      <c r="D3" s="6" t="s">
        <v>108</v>
      </c>
      <c r="E3" s="1" t="s">
        <v>116</v>
      </c>
      <c r="F3" s="6" t="s">
        <v>110</v>
      </c>
      <c r="G3" s="1" t="s">
        <v>117</v>
      </c>
      <c r="H3" s="1" t="s">
        <v>118</v>
      </c>
    </row>
    <row r="4" spans="1:8" ht="40.65" customHeight="1">
      <c r="A4" s="3" t="s">
        <v>113</v>
      </c>
      <c r="B4" s="3" t="s">
        <v>119</v>
      </c>
      <c r="C4" s="3" t="s">
        <v>120</v>
      </c>
      <c r="D4" s="6" t="s">
        <v>108</v>
      </c>
      <c r="E4" s="3" t="s">
        <v>121</v>
      </c>
      <c r="F4" s="6" t="s">
        <v>110</v>
      </c>
      <c r="G4" s="3" t="s">
        <v>122</v>
      </c>
      <c r="H4" s="3" t="s">
        <v>123</v>
      </c>
    </row>
    <row r="5" spans="1:8" ht="40.65" customHeight="1">
      <c r="A5" s="1" t="s">
        <v>124</v>
      </c>
      <c r="B5" s="1" t="s">
        <v>125</v>
      </c>
      <c r="C5" s="1" t="s">
        <v>126</v>
      </c>
      <c r="D5" s="6" t="s">
        <v>108</v>
      </c>
      <c r="E5" s="1" t="s">
        <v>127</v>
      </c>
      <c r="F5" s="6" t="s">
        <v>110</v>
      </c>
      <c r="G5" s="1" t="s">
        <v>128</v>
      </c>
      <c r="H5" s="1" t="s">
        <v>129</v>
      </c>
    </row>
    <row r="6" spans="1:8" ht="40.65" customHeight="1">
      <c r="A6" s="3" t="s">
        <v>130</v>
      </c>
      <c r="B6" s="3" t="s">
        <v>131</v>
      </c>
      <c r="C6" s="3" t="s">
        <v>132</v>
      </c>
      <c r="D6" s="6" t="s">
        <v>108</v>
      </c>
      <c r="E6" s="3" t="s">
        <v>133</v>
      </c>
      <c r="F6" s="6" t="s">
        <v>110</v>
      </c>
      <c r="G6" s="3" t="s">
        <v>134</v>
      </c>
      <c r="H6" s="3" t="s">
        <v>135</v>
      </c>
    </row>
    <row r="7" spans="1:8" ht="40.65" customHeight="1">
      <c r="A7" s="1" t="s">
        <v>136</v>
      </c>
      <c r="B7" s="1" t="s">
        <v>137</v>
      </c>
      <c r="C7" s="1" t="s">
        <v>138</v>
      </c>
      <c r="D7" s="8" t="s">
        <v>139</v>
      </c>
      <c r="E7" s="1" t="s">
        <v>140</v>
      </c>
      <c r="F7" s="6" t="s">
        <v>110</v>
      </c>
      <c r="G7" s="1" t="s">
        <v>141</v>
      </c>
      <c r="H7" s="1" t="s">
        <v>142</v>
      </c>
    </row>
    <row r="8" spans="1:8" ht="40.65" customHeight="1">
      <c r="A8" s="3" t="s">
        <v>143</v>
      </c>
      <c r="B8" s="3" t="s">
        <v>144</v>
      </c>
      <c r="C8" s="3" t="s">
        <v>145</v>
      </c>
      <c r="D8" s="7" t="s">
        <v>71</v>
      </c>
      <c r="E8" s="3" t="s">
        <v>146</v>
      </c>
      <c r="F8" s="6" t="s">
        <v>110</v>
      </c>
      <c r="G8" s="3" t="s">
        <v>147</v>
      </c>
      <c r="H8" s="3" t="s">
        <v>148</v>
      </c>
    </row>
    <row r="9" spans="1:8" ht="40.65" customHeight="1">
      <c r="A9" s="1" t="s">
        <v>149</v>
      </c>
      <c r="B9" s="1" t="s">
        <v>150</v>
      </c>
      <c r="C9" s="1" t="s">
        <v>151</v>
      </c>
      <c r="D9" s="6" t="s">
        <v>108</v>
      </c>
      <c r="E9" s="1" t="s">
        <v>152</v>
      </c>
      <c r="F9" s="6" t="s">
        <v>110</v>
      </c>
      <c r="G9" s="1" t="s">
        <v>153</v>
      </c>
      <c r="H9" s="1" t="s">
        <v>154</v>
      </c>
    </row>
    <row r="10" spans="1:8" ht="40.65" customHeight="1">
      <c r="A10" s="3" t="s">
        <v>155</v>
      </c>
      <c r="B10" s="3" t="s">
        <v>156</v>
      </c>
      <c r="C10" s="3" t="s">
        <v>157</v>
      </c>
      <c r="D10" s="6" t="s">
        <v>108</v>
      </c>
      <c r="E10" s="3" t="s">
        <v>158</v>
      </c>
      <c r="F10" s="6" t="s">
        <v>110</v>
      </c>
      <c r="G10" s="3" t="s">
        <v>159</v>
      </c>
      <c r="H10" s="3" t="s">
        <v>160</v>
      </c>
    </row>
    <row r="11" spans="1:8" ht="29.4" customHeight="1">
      <c r="A11" s="1" t="s">
        <v>161</v>
      </c>
      <c r="B11" s="1" t="s">
        <v>162</v>
      </c>
      <c r="C11" s="1" t="s">
        <v>163</v>
      </c>
      <c r="D11" s="7" t="s">
        <v>71</v>
      </c>
      <c r="E11" s="1" t="s">
        <v>164</v>
      </c>
      <c r="F11" s="6" t="s">
        <v>110</v>
      </c>
      <c r="G11" s="1" t="s">
        <v>165</v>
      </c>
      <c r="H11" s="1" t="s">
        <v>166</v>
      </c>
    </row>
    <row r="12" spans="1:8" ht="40.65" customHeight="1">
      <c r="A12" s="3" t="s">
        <v>167</v>
      </c>
      <c r="B12" s="3" t="s">
        <v>168</v>
      </c>
      <c r="C12" s="3" t="s">
        <v>169</v>
      </c>
      <c r="D12" s="7" t="s">
        <v>71</v>
      </c>
      <c r="E12" s="3" t="s">
        <v>170</v>
      </c>
      <c r="F12" s="6" t="s">
        <v>110</v>
      </c>
      <c r="G12" s="3" t="s">
        <v>171</v>
      </c>
      <c r="H12" s="3" t="s">
        <v>172</v>
      </c>
    </row>
    <row r="13" spans="1:8" ht="40.65" customHeight="1">
      <c r="A13" s="1" t="s">
        <v>173</v>
      </c>
      <c r="B13" s="1" t="s">
        <v>174</v>
      </c>
      <c r="C13" s="1" t="s">
        <v>175</v>
      </c>
      <c r="D13" s="6" t="s">
        <v>108</v>
      </c>
      <c r="E13" s="1" t="s">
        <v>176</v>
      </c>
      <c r="F13" s="6" t="s">
        <v>110</v>
      </c>
      <c r="G13" s="1" t="s">
        <v>177</v>
      </c>
      <c r="H13" s="1" t="s">
        <v>178</v>
      </c>
    </row>
    <row r="14" spans="1:8" ht="29.4" customHeight="1">
      <c r="A14" s="3" t="s">
        <v>179</v>
      </c>
      <c r="B14" s="3" t="s">
        <v>180</v>
      </c>
      <c r="C14" s="3" t="s">
        <v>181</v>
      </c>
      <c r="D14" s="6" t="s">
        <v>108</v>
      </c>
      <c r="E14" s="3" t="s">
        <v>182</v>
      </c>
      <c r="F14" s="6" t="s">
        <v>110</v>
      </c>
      <c r="G14" s="3" t="s">
        <v>183</v>
      </c>
      <c r="H14" s="3" t="s">
        <v>184</v>
      </c>
    </row>
    <row r="15" spans="1:8" ht="40.65" customHeight="1">
      <c r="A15" s="1" t="s">
        <v>185</v>
      </c>
      <c r="B15" s="1" t="s">
        <v>186</v>
      </c>
      <c r="C15" s="1" t="s">
        <v>187</v>
      </c>
      <c r="D15" s="7" t="s">
        <v>71</v>
      </c>
      <c r="E15" s="1" t="s">
        <v>188</v>
      </c>
      <c r="F15" s="6" t="s">
        <v>110</v>
      </c>
      <c r="G15" s="1" t="s">
        <v>189</v>
      </c>
      <c r="H15" s="1" t="s">
        <v>190</v>
      </c>
    </row>
    <row r="16" spans="1:8" ht="40.65" customHeight="1">
      <c r="A16" s="3" t="s">
        <v>191</v>
      </c>
      <c r="B16" s="3" t="s">
        <v>192</v>
      </c>
      <c r="C16" s="3" t="s">
        <v>193</v>
      </c>
      <c r="D16" s="6" t="s">
        <v>108</v>
      </c>
      <c r="E16" s="3" t="s">
        <v>194</v>
      </c>
      <c r="F16" s="6" t="s">
        <v>110</v>
      </c>
      <c r="G16" s="3" t="s">
        <v>195</v>
      </c>
      <c r="H16" s="3" t="s">
        <v>196</v>
      </c>
    </row>
    <row r="17" spans="1:8" ht="52" customHeight="1">
      <c r="A17" s="1" t="s">
        <v>197</v>
      </c>
      <c r="B17" s="1" t="s">
        <v>198</v>
      </c>
      <c r="C17" s="1" t="s">
        <v>199</v>
      </c>
      <c r="D17" s="7" t="s">
        <v>71</v>
      </c>
      <c r="E17" s="1" t="s">
        <v>200</v>
      </c>
      <c r="F17" s="9" t="s">
        <v>201</v>
      </c>
      <c r="G17" s="1" t="s">
        <v>202</v>
      </c>
      <c r="H17" s="1" t="s">
        <v>203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Scan Inventory</vt:lpstr>
      <vt:lpstr>Analyzer Comparison</vt:lpstr>
      <vt:lpstr>Findings Comparison</vt:lpstr>
      <vt:lpstr>LLM Behavior</vt:lpstr>
      <vt:lpstr>Master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 Baghale</cp:lastModifiedBy>
  <dcterms:created xsi:type="dcterms:W3CDTF">2026-08-26T20:33:18Z</dcterms:created>
  <dcterms:modified xsi:type="dcterms:W3CDTF">2026-08-26T21:07:02Z</dcterms:modified>
</cp:coreProperties>
</file>